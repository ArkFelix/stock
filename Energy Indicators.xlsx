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AARYA\Desktop\DSC finals\"/>
    </mc:Choice>
  </mc:AlternateContent>
  <xr:revisionPtr revIDLastSave="0" documentId="13_ncr:1_{397B533D-D233-4527-881F-228864051D40}" xr6:coauthVersionLast="47" xr6:coauthVersionMax="47" xr10:uidLastSave="{00000000-0000-0000-0000-000000000000}"/>
  <bookViews>
    <workbookView xWindow="-108" yWindow="-108" windowWidth="23256" windowHeight="12456" xr2:uid="{00000000-000D-0000-FFFF-FFFF00000000}"/>
  </bookViews>
  <sheets>
    <sheet name="Energy"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uri="GoogleSheetsCustomDataVersion1">
      <go:sheetsCustomData xmlns:go="http://customooxmlschemas.google.com/" r:id="rId5" roundtripDataSignature="AMtx7mim27/Ki+TYpJutwCxzywY7/q/3jA=="/>
    </ext>
  </extLst>
</workbook>
</file>

<file path=xl/calcChain.xml><?xml version="1.0" encoding="utf-8"?>
<calcChain xmlns="http://schemas.openxmlformats.org/spreadsheetml/2006/main">
  <c r="F12" i="1" l="1"/>
  <c r="E12" i="1"/>
  <c r="D12" i="1"/>
  <c r="C12" i="1"/>
</calcChain>
</file>

<file path=xl/sharedStrings.xml><?xml version="1.0" encoding="utf-8"?>
<sst xmlns="http://schemas.openxmlformats.org/spreadsheetml/2006/main" count="517" uniqueCount="293">
  <si>
    <t>Environmental Indicators: Energy</t>
  </si>
  <si>
    <t>Energy Supply and Renewable Electricity Production in 2013</t>
  </si>
  <si>
    <r>
      <rPr>
        <i/>
        <sz val="9"/>
        <color theme="1"/>
        <rFont val="Arial"/>
      </rPr>
      <t>Last update:</t>
    </r>
    <r>
      <rPr>
        <sz val="9"/>
        <color theme="1"/>
        <rFont val="Arial"/>
      </rPr>
      <t xml:space="preserve"> December 2015</t>
    </r>
  </si>
  <si>
    <t>Choose a country from the following drop-down list:</t>
  </si>
  <si>
    <t>India</t>
  </si>
  <si>
    <t>Country</t>
  </si>
  <si>
    <t>Energy Supply</t>
  </si>
  <si>
    <t>Energy Supply per capita</t>
  </si>
  <si>
    <t>Renewable Electricity Production</t>
  </si>
  <si>
    <t>Petajoules</t>
  </si>
  <si>
    <t>Gigajoules</t>
  </si>
  <si>
    <t>%</t>
  </si>
  <si>
    <t>website: http://unstats.un.org/unsd/ENVIRONMENT/qindicators.htm</t>
  </si>
  <si>
    <t>Afghanistan</t>
  </si>
  <si>
    <t>Albania</t>
  </si>
  <si>
    <t>Algeria</t>
  </si>
  <si>
    <t>American Samoa</t>
  </si>
  <si>
    <t>...</t>
  </si>
  <si>
    <t>Andorra</t>
  </si>
  <si>
    <t>Angola</t>
  </si>
  <si>
    <t>Anguilla</t>
  </si>
  <si>
    <t>Antigua and Barbuda</t>
  </si>
  <si>
    <t>Argentina</t>
  </si>
  <si>
    <t>Armenia</t>
  </si>
  <si>
    <t>Aruba</t>
  </si>
  <si>
    <t>Australia</t>
  </si>
  <si>
    <r>
      <rPr>
        <sz val="8"/>
        <color theme="1"/>
        <rFont val="Arial"/>
      </rPr>
      <t>Australia</t>
    </r>
    <r>
      <rPr>
        <vertAlign val="superscript"/>
        <sz val="8"/>
        <color theme="1"/>
        <rFont val="Arial"/>
      </rPr>
      <t>1</t>
    </r>
  </si>
  <si>
    <t>Austria</t>
  </si>
  <si>
    <t>Azerbaijan</t>
  </si>
  <si>
    <t>Bahamas</t>
  </si>
  <si>
    <t>Bahrain</t>
  </si>
  <si>
    <t>Bangladesh</t>
  </si>
  <si>
    <t>Barbados</t>
  </si>
  <si>
    <t>Belarus</t>
  </si>
  <si>
    <t>Belgium</t>
  </si>
  <si>
    <t>Belize</t>
  </si>
  <si>
    <t>Benin</t>
  </si>
  <si>
    <t>Bermuda</t>
  </si>
  <si>
    <t>Bhutan</t>
  </si>
  <si>
    <t>Bolivia (Plurinational State of)</t>
  </si>
  <si>
    <t>Bonaire, Sint Eustatius and Saba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</si>
  <si>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</si>
  <si>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</si>
  <si>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</si>
  <si>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</si>
  <si>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</si>
  <si>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</si>
  <si>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</si>
  <si>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</si>
  <si>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</si>
  <si>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</si>
  <si>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</si>
  <si>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</si>
  <si>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</si>
  <si>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</si>
  <si>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</si>
  <si>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</si>
  <si>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</si>
  <si>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r>
      <rPr>
        <sz val="8"/>
        <color theme="1"/>
        <rFont val="Arial"/>
      </rPr>
      <t>China</t>
    </r>
    <r>
      <rPr>
        <vertAlign val="superscript"/>
        <sz val="8"/>
        <color theme="1"/>
        <rFont val="Arial"/>
      </rPr>
      <t>2</t>
    </r>
  </si>
  <si>
    <t>China, Hong Kong Special Administrative Region</t>
  </si>
  <si>
    <r>
      <rPr>
        <sz val="8"/>
        <color theme="1"/>
        <rFont val="Arial"/>
      </rPr>
      <t>China, Hong Kong Special Administrative Region</t>
    </r>
    <r>
      <rPr>
        <vertAlign val="superscript"/>
        <sz val="8"/>
        <color theme="1"/>
        <rFont val="Arial"/>
      </rPr>
      <t>3</t>
    </r>
  </si>
  <si>
    <t>China, Macao Special Administrative Region</t>
  </si>
  <si>
    <r>
      <rPr>
        <sz val="8"/>
        <color theme="1"/>
        <rFont val="Arial"/>
      </rPr>
      <t>China, Macao Special Administrative Region</t>
    </r>
    <r>
      <rPr>
        <vertAlign val="superscript"/>
        <sz val="8"/>
        <color theme="1"/>
        <rFont val="Arial"/>
      </rPr>
      <t>4</t>
    </r>
  </si>
  <si>
    <t>Colombia</t>
  </si>
  <si>
    <t>Comoros</t>
  </si>
  <si>
    <t>Congo</t>
  </si>
  <si>
    <t>Cook Islands</t>
  </si>
  <si>
    <t>Costa Rica</t>
  </si>
  <si>
    <t>Côte d'Ivoire</t>
  </si>
  <si>
    <t>Croatia</t>
  </si>
  <si>
    <t>Cuba</t>
  </si>
  <si>
    <t>Curaçao</t>
  </si>
  <si>
    <t>Cyprus</t>
  </si>
  <si>
    <t>Czech Republic</t>
  </si>
  <si>
    <t>Democratic People's Republic of Korea</t>
  </si>
  <si>
    <t>Democratic Republic of the Congo</t>
  </si>
  <si>
    <t>Denmark</t>
  </si>
  <si>
    <r>
      <rPr>
        <sz val="8"/>
        <color rgb="FF000000"/>
        <rFont val="Arial"/>
      </rPr>
      <t>Denmark</t>
    </r>
    <r>
      <rPr>
        <vertAlign val="superscript"/>
        <sz val="8"/>
        <color rgb="FF000000"/>
        <rFont val="Arial"/>
      </rPr>
      <t>5</t>
    </r>
  </si>
  <si>
    <t>Djibouti</t>
  </si>
  <si>
    <t>Dominica</t>
  </si>
  <si>
    <t>Dominican Republic</t>
  </si>
  <si>
    <t>Ecuador</t>
  </si>
  <si>
    <t>Egypt</t>
  </si>
  <si>
    <t>El Salvador</t>
  </si>
  <si>
    <t>Equatorial Guinea</t>
  </si>
  <si>
    <t>Eritrea</t>
  </si>
  <si>
    <t>Estonia</t>
  </si>
  <si>
    <t>Ethiopia</t>
  </si>
  <si>
    <t>Faeroe Islands</t>
  </si>
  <si>
    <t>Falkland Islands (Malvinas)</t>
  </si>
  <si>
    <t>Fiji</t>
  </si>
  <si>
    <t>Finland</t>
  </si>
  <si>
    <t>France</t>
  </si>
  <si>
    <r>
      <rPr>
        <sz val="8"/>
        <color theme="1"/>
        <rFont val="Arial"/>
      </rPr>
      <t>France</t>
    </r>
    <r>
      <rPr>
        <vertAlign val="superscript"/>
        <sz val="8"/>
        <color theme="1"/>
        <rFont val="Arial"/>
      </rPr>
      <t>6</t>
    </r>
  </si>
  <si>
    <t>French Guiana</t>
  </si>
  <si>
    <t>French Polynesia</t>
  </si>
  <si>
    <t>Gabon</t>
  </si>
  <si>
    <t>Gambia</t>
  </si>
  <si>
    <t>Georgia</t>
  </si>
  <si>
    <t>Germany</t>
  </si>
  <si>
    <t>Ghana</t>
  </si>
  <si>
    <t>Gibraltar</t>
  </si>
  <si>
    <t>Greece</t>
  </si>
  <si>
    <t>Greenland</t>
  </si>
  <si>
    <r>
      <rPr>
        <sz val="8"/>
        <color theme="1"/>
        <rFont val="Arial"/>
      </rPr>
      <t>Greenland</t>
    </r>
    <r>
      <rPr>
        <vertAlign val="superscript"/>
        <sz val="8"/>
        <color theme="1"/>
        <rFont val="Arial"/>
      </rPr>
      <t>7</t>
    </r>
  </si>
  <si>
    <t>Grenada</t>
  </si>
  <si>
    <t>Guadeloupe</t>
  </si>
  <si>
    <t>Guam</t>
  </si>
  <si>
    <t>Guatemala</t>
  </si>
  <si>
    <t>Guernsey</t>
  </si>
  <si>
    <t>Guinea</t>
  </si>
  <si>
    <t>Guinea-Bissau</t>
  </si>
  <si>
    <t>Guyana</t>
  </si>
  <si>
    <t>Haiti</t>
  </si>
  <si>
    <t>Honduras</t>
  </si>
  <si>
    <t>Hungary</t>
  </si>
  <si>
    <t>Iceland</t>
  </si>
  <si>
    <t>Indonesia</t>
  </si>
  <si>
    <r>
      <rPr>
        <sz val="8"/>
        <color rgb="FF000000"/>
        <rFont val="Arial"/>
      </rPr>
      <t>Indonesia</t>
    </r>
    <r>
      <rPr>
        <vertAlign val="superscript"/>
        <sz val="8"/>
        <color rgb="FF000000"/>
        <rFont val="Arial"/>
      </rPr>
      <t>8</t>
    </r>
  </si>
  <si>
    <t>Iran (Islamic Republic of)</t>
  </si>
  <si>
    <t>Iraq</t>
  </si>
  <si>
    <t>Ireland</t>
  </si>
  <si>
    <t>Isle of Man</t>
  </si>
  <si>
    <t>Israel</t>
  </si>
  <si>
    <t>Italy</t>
  </si>
  <si>
    <r>
      <rPr>
        <sz val="8"/>
        <color theme="1"/>
        <rFont val="Arial"/>
      </rPr>
      <t>Italy</t>
    </r>
    <r>
      <rPr>
        <vertAlign val="superscript"/>
        <sz val="8"/>
        <color theme="1"/>
        <rFont val="Arial"/>
      </rPr>
      <t>9</t>
    </r>
  </si>
  <si>
    <t>Jamaica</t>
  </si>
  <si>
    <t>Japan</t>
  </si>
  <si>
    <r>
      <rPr>
        <sz val="8"/>
        <color rgb="FF000000"/>
        <rFont val="Arial"/>
      </rPr>
      <t>Japan</t>
    </r>
    <r>
      <rPr>
        <vertAlign val="superscript"/>
        <sz val="8"/>
        <color rgb="FF000000"/>
        <rFont val="Arial"/>
      </rPr>
      <t>10</t>
    </r>
  </si>
  <si>
    <t>Jersey</t>
  </si>
  <si>
    <t>Jordan</t>
  </si>
  <si>
    <t>Kazakhstan</t>
  </si>
  <si>
    <t>Kenya</t>
  </si>
  <si>
    <t>Kiribati</t>
  </si>
  <si>
    <t>Kuwait</t>
  </si>
  <si>
    <r>
      <rPr>
        <sz val="8"/>
        <color theme="1"/>
        <rFont val="Arial"/>
      </rPr>
      <t>Kuwait</t>
    </r>
    <r>
      <rPr>
        <vertAlign val="superscript"/>
        <sz val="8"/>
        <color theme="1"/>
        <rFont val="Arial"/>
      </rPr>
      <t>11</t>
    </r>
  </si>
  <si>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</si>
  <si>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</si>
  <si>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</si>
  <si>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</si>
  <si>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</si>
  <si>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</si>
  <si>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</si>
  <si>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</si>
  <si>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</si>
  <si>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</si>
  <si>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</si>
  <si>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</si>
  <si>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</si>
  <si>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</si>
  <si>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</si>
  <si>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</si>
  <si>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</si>
  <si>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</si>
  <si>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</si>
  <si>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</si>
  <si>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Mexico</t>
  </si>
  <si>
    <t>Micronesia (Federated States of)</t>
  </si>
  <si>
    <t>Mongolia</t>
  </si>
  <si>
    <t>Montenegro</t>
  </si>
  <si>
    <t>Montserrat</t>
  </si>
  <si>
    <t>Morocco</t>
  </si>
  <si>
    <t>Mozambique</t>
  </si>
  <si>
    <t>Myanmar</t>
  </si>
  <si>
    <t>Namibia</t>
  </si>
  <si>
    <t>Nauru</t>
  </si>
  <si>
    <t>Nepal</t>
  </si>
  <si>
    <t>Netherlands</t>
  </si>
  <si>
    <r>
      <rPr>
        <sz val="8"/>
        <color theme="1"/>
        <rFont val="Arial"/>
      </rPr>
      <t>Netherlands</t>
    </r>
    <r>
      <rPr>
        <vertAlign val="superscript"/>
        <sz val="8"/>
        <color theme="1"/>
        <rFont val="Arial"/>
      </rPr>
      <t>12</t>
    </r>
  </si>
  <si>
    <t>New Caledonia</t>
  </si>
  <si>
    <t>New Zealand</t>
  </si>
  <si>
    <t>Nicaragua</t>
  </si>
  <si>
    <t>Niger</t>
  </si>
  <si>
    <t>Nigeria</t>
  </si>
  <si>
    <t>Niue</t>
  </si>
  <si>
    <t>Northern Mariana Islands</t>
  </si>
  <si>
    <t>Norway</t>
  </si>
  <si>
    <t>Oman</t>
  </si>
  <si>
    <t>Pakistan</t>
  </si>
  <si>
    <t>Palau</t>
  </si>
  <si>
    <t>Panama</t>
  </si>
  <si>
    <t>Papua New Guinea</t>
  </si>
  <si>
    <t>Paraguay</t>
  </si>
  <si>
    <t>Peru</t>
  </si>
  <si>
    <t>Philippines</t>
  </si>
  <si>
    <t>Poland</t>
  </si>
  <si>
    <t>Portugal</t>
  </si>
  <si>
    <r>
      <rPr>
        <sz val="8"/>
        <color theme="1"/>
        <rFont val="Arial"/>
      </rPr>
      <t>Portugal</t>
    </r>
    <r>
      <rPr>
        <vertAlign val="superscript"/>
        <sz val="8"/>
        <color theme="1"/>
        <rFont val="Arial"/>
      </rPr>
      <t>13</t>
    </r>
  </si>
  <si>
    <t>Puerto Rico</t>
  </si>
  <si>
    <t>Qatar</t>
  </si>
  <si>
    <t>Republic of Korea</t>
  </si>
  <si>
    <t>Republic of Moldova</t>
  </si>
  <si>
    <t>Réunion</t>
  </si>
  <si>
    <t>Romania</t>
  </si>
  <si>
    <t>Russian Federation</t>
  </si>
  <si>
    <t>Rwanda</t>
  </si>
  <si>
    <t>Saint Helena</t>
  </si>
  <si>
    <t>Saint Kitts and Nevis</t>
  </si>
  <si>
    <t>Saint Lucia</t>
  </si>
  <si>
    <t>Saint Pierre and Miquelon</t>
  </si>
  <si>
    <t>Saint Vincent and the Grenadines</t>
  </si>
  <si>
    <t>Samoa</t>
  </si>
  <si>
    <t>Sao Tome and Principe</t>
  </si>
  <si>
    <t>Saudi Arabia</t>
  </si>
  <si>
    <r>
      <rPr>
        <sz val="8"/>
        <color rgb="FF000000"/>
        <rFont val="Arial"/>
      </rPr>
      <t>Saudi Arabia</t>
    </r>
    <r>
      <rPr>
        <vertAlign val="superscript"/>
        <sz val="8"/>
        <color rgb="FF000000"/>
        <rFont val="Arial"/>
      </rPr>
      <t>14</t>
    </r>
  </si>
  <si>
    <t>Senegal</t>
  </si>
  <si>
    <t>Serbia</t>
  </si>
  <si>
    <r>
      <rPr>
        <sz val="8"/>
        <color theme="1"/>
        <rFont val="Arial"/>
      </rPr>
      <t>Serbia</t>
    </r>
    <r>
      <rPr>
        <vertAlign val="superscript"/>
        <sz val="8"/>
        <color theme="1"/>
        <rFont val="Arial"/>
      </rPr>
      <t>15</t>
    </r>
  </si>
  <si>
    <t>Seychelles</t>
  </si>
  <si>
    <t>Sierra Leone</t>
  </si>
  <si>
    <t>Singapore</t>
  </si>
  <si>
    <t>Sint Maarten (Dutch part)</t>
  </si>
  <si>
    <t>Slovakia</t>
  </si>
  <si>
    <t>Slovenia</t>
  </si>
  <si>
    <t>Solomon Islands</t>
  </si>
  <si>
    <t>Somalia</t>
  </si>
  <si>
    <t>South Africa</t>
  </si>
  <si>
    <t>South Sudan</t>
  </si>
  <si>
    <t>Spain</t>
  </si>
  <si>
    <r>
      <rPr>
        <sz val="8"/>
        <color theme="1"/>
        <rFont val="Arial"/>
      </rPr>
      <t>Spain</t>
    </r>
    <r>
      <rPr>
        <vertAlign val="superscript"/>
        <sz val="8"/>
        <color theme="1"/>
        <rFont val="Arial"/>
      </rPr>
      <t>16</t>
    </r>
  </si>
  <si>
    <t>Sri Lanka</t>
  </si>
  <si>
    <t>State of Palestine</t>
  </si>
  <si>
    <t>Sudan</t>
  </si>
  <si>
    <t>Suriname</t>
  </si>
  <si>
    <t>Swaziland</t>
  </si>
  <si>
    <t>Sweden</t>
  </si>
  <si>
    <t>Switzerland</t>
  </si>
  <si>
    <r>
      <rPr>
        <sz val="8"/>
        <color rgb="FF000000"/>
        <rFont val="Arial"/>
      </rPr>
      <t>Switzerland</t>
    </r>
    <r>
      <rPr>
        <vertAlign val="superscript"/>
        <sz val="8"/>
        <color rgb="FF000000"/>
        <rFont val="Arial"/>
      </rPr>
      <t>17</t>
    </r>
  </si>
  <si>
    <t>Syrian Arab Republic</t>
  </si>
  <si>
    <t>Tajikistan</t>
  </si>
  <si>
    <t>Thailand</t>
  </si>
  <si>
    <t>The former Yugoslav Republic of Macedonia</t>
  </si>
  <si>
    <t>Timor-Leste</t>
  </si>
  <si>
    <t>Togo</t>
  </si>
  <si>
    <t>Tonga</t>
  </si>
  <si>
    <t>Trinidad and Tobago</t>
  </si>
  <si>
    <t>Tunisia</t>
  </si>
  <si>
    <t>Turkey</t>
  </si>
  <si>
    <t>Turkmenistan</t>
  </si>
  <si>
    <t>Turks and Caicos Islands</t>
  </si>
  <si>
    <t>Tuvalu</t>
  </si>
  <si>
    <t>Uganda</t>
  </si>
  <si>
    <t>Ukraine</t>
  </si>
  <si>
    <r>
      <rPr>
        <sz val="8"/>
        <color theme="1"/>
        <rFont val="Arial"/>
      </rPr>
      <t>Ukraine</t>
    </r>
    <r>
      <rPr>
        <vertAlign val="superscript"/>
        <sz val="8"/>
        <color theme="1"/>
        <rFont val="Arial"/>
      </rPr>
      <t>18</t>
    </r>
  </si>
  <si>
    <t>United Arab Emirates</t>
  </si>
  <si>
    <t>United Kingdom of Great Britain and Northern Ireland</t>
  </si>
  <si>
    <r>
      <rPr>
        <sz val="8"/>
        <color theme="1"/>
        <rFont val="Arial"/>
      </rPr>
      <t>United Kingdom of Great Britain and Northern Ireland</t>
    </r>
    <r>
      <rPr>
        <vertAlign val="superscript"/>
        <sz val="8"/>
        <color theme="1"/>
        <rFont val="Arial"/>
      </rPr>
      <t>19</t>
    </r>
  </si>
  <si>
    <t>United Republic of Tanzania</t>
  </si>
  <si>
    <t>United States of America</t>
  </si>
  <si>
    <r>
      <rPr>
        <sz val="8"/>
        <color theme="1"/>
        <rFont val="Arial"/>
      </rPr>
      <t>United States of America</t>
    </r>
    <r>
      <rPr>
        <vertAlign val="superscript"/>
        <sz val="8"/>
        <color theme="1"/>
        <rFont val="Arial"/>
      </rPr>
      <t>20</t>
    </r>
  </si>
  <si>
    <t>United States Virgin Islands</t>
  </si>
  <si>
    <t>Uruguay</t>
  </si>
  <si>
    <t>Uzbekistan</t>
  </si>
  <si>
    <t>Vanuatu</t>
  </si>
  <si>
    <t>Venezuela (Bolivarian Republic of)</t>
  </si>
  <si>
    <t>Viet Nam</t>
  </si>
  <si>
    <t>Wallis and Futuna Islands</t>
  </si>
  <si>
    <t>Yemen</t>
  </si>
  <si>
    <t>Zambia</t>
  </si>
  <si>
    <t>Zimbabwe</t>
  </si>
  <si>
    <t>Sources:</t>
  </si>
  <si>
    <t>UNSD Energy Statistics Yearbook.</t>
  </si>
  <si>
    <r>
      <rPr>
        <u/>
        <sz val="8"/>
        <color theme="10"/>
        <rFont val="Arial"/>
      </rPr>
      <t xml:space="preserve">See: </t>
    </r>
    <r>
      <rPr>
        <u/>
        <sz val="8"/>
        <color rgb="FF0000FF"/>
        <rFont val="Arial"/>
      </rPr>
      <t>http://unstats.un.org/unsd/energy/yearbook/default.htm</t>
    </r>
  </si>
  <si>
    <t>Footnotes:</t>
  </si>
  <si>
    <t>Excludes the overseas territories.</t>
  </si>
  <si>
    <t>Data exclude Hong Kong and Macao Special Administrative Regions (Hong Kong SAR and Macao SAR) and Taiwan Province.</t>
  </si>
  <si>
    <t>Data on kerosene-type jet fuel include aviation gasoline and other kerosene.</t>
  </si>
  <si>
    <t>For confidentiality reasons, data on coal and coal products, jet fuel, petroleum coke and other petroleum products (2009-2012), stock changes of other kerosene (2010-12), exports of charcoal (2009-2012), and data on fuelwood (2010-2012) are not available.</t>
  </si>
  <si>
    <t>Data exclude Greenland and the Danish Faroes.</t>
  </si>
  <si>
    <t>Data include Monaco, and exclude the following overseas departments and territories: Guadeloupe, Guyana, Martinique, New Caledonia, French Polynesia, Reunion, and St. Pierre and Miquelon.</t>
  </si>
  <si>
    <t>Data for kerosene-type jet fuel include other kerosene.</t>
  </si>
  <si>
    <t>Data include Timor-Leste until 2001.</t>
  </si>
  <si>
    <t xml:space="preserve">Data include San Marino and the Holy See. </t>
  </si>
  <si>
    <t>Data include Okinawa.</t>
  </si>
  <si>
    <t xml:space="preserve">The data for crude oil production include 50 per cent of the output of the Neutral Zone. </t>
  </si>
  <si>
    <t>Data exclude Suriname and the Netherlands Antilles.</t>
  </si>
  <si>
    <t>Data include the Azores and Madeira.</t>
  </si>
  <si>
    <t>Data for crude oil production include 50 per cent of the output of the Neutral Zone.</t>
  </si>
  <si>
    <t>Data exclude Kosovo from 2000 onwards.</t>
  </si>
  <si>
    <t>Data include the Canary Islands.</t>
  </si>
  <si>
    <t>Data include Liechtenstein for oil statistics.</t>
  </si>
  <si>
    <t>For confidentiality reasons, data on the following products (mainly on production) may not be available or may be included with other products: lignite (included with peat), patent fuel (included with peat briquettes), aviation gasoline, kerosene-type jet fuel, other kerosene, petroleum coke, paraffin waxes and white spirit (the latter three included with other oil products).</t>
  </si>
  <si>
    <t xml:space="preserve">Shipments of coal and oil to Jersey, Guernsey and the Isle of Man from the United Kingdom are not classed as exports. Supplies of coal and oil to these islands are, therefore, included as part of UK supply. Exports of natural gas to the Isle of Man are included with the exports to Ireland. </t>
  </si>
  <si>
    <t xml:space="preserve">Includes the 50 states and the District of Columbia. Oil statistics as well as coal trade statistics also include Puerto Rico, Guam, the U.S. Virgin Islands, American Samoa, Johnston Atoll, Midway Islands, Wake Island and the Northern Mariana Islands. </t>
  </si>
  <si>
    <t>Definitions &amp; Technical notes:</t>
  </si>
  <si>
    <t>The data on energy supply and renewable electricity production were compiled by the UNSD Energy Statistics Section for the Energy Statistics Yearbook. For more detailed information on these and other energy supply and production indicators please refer to the publication.</t>
  </si>
  <si>
    <r>
      <rPr>
        <u/>
        <sz val="8"/>
        <color theme="1"/>
        <rFont val="Arial"/>
      </rPr>
      <t>Energy supply</t>
    </r>
    <r>
      <rPr>
        <sz val="8"/>
        <color theme="1"/>
        <rFont val="Arial"/>
      </rPr>
      <t xml:space="preserve"> is defined as energy production plus imports minus exports minus international marine bunkers minus international aviation bunkers minus stock changes. </t>
    </r>
  </si>
  <si>
    <r>
      <rPr>
        <u/>
        <sz val="8"/>
        <color theme="1"/>
        <rFont val="Arial"/>
      </rPr>
      <t>Electricity production</t>
    </r>
    <r>
      <rPr>
        <sz val="8"/>
        <color theme="1"/>
        <rFont val="Arial"/>
      </rPr>
      <t xml:space="preserve"> refers to gross production, which is the sum of the electrical energy production by all the generating units/installations concerned (including pumped storage) measured at the output terminals of the main generators.</t>
    </r>
  </si>
  <si>
    <r>
      <rPr>
        <u/>
        <sz val="8"/>
        <color theme="1"/>
        <rFont val="Arial"/>
      </rPr>
      <t>Renewable electricity production</t>
    </r>
    <r>
      <rPr>
        <sz val="8"/>
        <color theme="1"/>
        <rFont val="Arial"/>
      </rPr>
      <t xml:space="preserve"> (%)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r>
  </si>
  <si>
    <t>… denotes no data available.</t>
  </si>
  <si>
    <t xml:space="preserve">Data Quality: </t>
  </si>
  <si>
    <t>The data are compiled primarily from the annual energy questionnaire distributed by the United Nations Statistics Division and supplemented by official national statistical publications, as well as publications from international and regional organizations. Where official data are not available or are inconsistent, estimates are made by the Statistics Division based on governmental, professional or commercial materials. Estimates include, but are not limited to, extrapolated data based on partial year information, use of annual trends, trade data based on partner country reports, breakdowns of aggregated data and analysis of current energy events.</t>
  </si>
  <si>
    <r>
      <rPr>
        <u/>
        <sz val="8"/>
        <color theme="10"/>
        <rFont val="Arial"/>
      </rPr>
      <t xml:space="preserve">For more information, visit </t>
    </r>
    <r>
      <rPr>
        <u/>
        <sz val="8"/>
        <color rgb="FF0000FF"/>
        <rFont val="Arial"/>
      </rPr>
      <t>http://unstats.un.org/unsd/energy/yearbook/default.htm</t>
    </r>
    <r>
      <rPr>
        <u/>
        <sz val="8"/>
        <color theme="10"/>
        <rFont val="Arial"/>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</si>
</sst>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 ##0.00"/>
  </numFmts>
  <fonts count="28" x14ac:knownFonts="1">
    <font>
      <sz val="10"/>
      <color rgb="FF000000"/>
      <name val="Arial"/>
    </font>
    <font>
      <sz val="10"/>
      <color theme="1"/>
      <name val="Arial"/>
    </font>
    <font>
      <b/>
      <sz val="15"/>
      <color theme="1"/>
      <name val="Arial"/>
    </font>
    <font>
      <b/>
      <sz val="10"/>
      <color theme="1"/>
      <name val="Arial"/>
    </font>
    <font>
      <b/>
      <sz val="13"/>
      <color theme="1"/>
      <name val="Arial"/>
    </font>
    <font>
      <i/>
      <sz val="9"/>
      <color theme="1"/>
      <name val="Arial"/>
    </font>
    <font>
      <b/>
      <sz val="10"/>
      <color rgb="FF0000FF"/>
      <name val="Arial"/>
    </font>
    <font>
      <sz val="10"/>
      <name val="Arial"/>
    </font>
    <font>
      <b/>
      <sz val="8"/>
      <color rgb="FF000000"/>
      <name val="Arial"/>
    </font>
    <font>
      <b/>
      <sz val="7"/>
      <color theme="1"/>
      <name val="Arial"/>
    </font>
    <font>
      <i/>
      <sz val="8"/>
      <color rgb="FF000000"/>
      <name val="Arial"/>
    </font>
    <font>
      <i/>
      <sz val="8"/>
      <color rgb="FF969696"/>
      <name val="Arial"/>
    </font>
    <font>
      <i/>
      <vertAlign val="superscript"/>
      <sz val="8"/>
      <color rgb="FF000000"/>
      <name val="Arial"/>
    </font>
    <font>
      <i/>
      <vertAlign val="superscript"/>
      <sz val="8"/>
      <color rgb="FF000000"/>
      <name val="Arial"/>
    </font>
    <font>
      <sz val="8"/>
      <color theme="0"/>
      <name val="Arial"/>
    </font>
    <font>
      <sz val="8"/>
      <color theme="1"/>
      <name val="Arial"/>
    </font>
    <font>
      <sz val="8"/>
      <color rgb="FF000000"/>
      <name val="Arial"/>
    </font>
    <font>
      <b/>
      <i/>
      <u/>
      <sz val="9"/>
      <color theme="1"/>
      <name val="Arial"/>
    </font>
    <font>
      <u/>
      <sz val="8"/>
      <color theme="10"/>
      <name val="Arial"/>
    </font>
    <font>
      <b/>
      <u/>
      <sz val="9"/>
      <color theme="1"/>
      <name val="Arial"/>
    </font>
    <font>
      <b/>
      <u/>
      <sz val="9"/>
      <color theme="1"/>
      <name val="Arial"/>
    </font>
    <font>
      <b/>
      <u/>
      <sz val="9"/>
      <color theme="1"/>
      <name val="Arial"/>
    </font>
    <font>
      <u/>
      <sz val="8"/>
      <color theme="10"/>
      <name val="Arial"/>
    </font>
    <font>
      <sz val="9"/>
      <color theme="1"/>
      <name val="Arial"/>
    </font>
    <font>
      <vertAlign val="superscript"/>
      <sz val="8"/>
      <color theme="1"/>
      <name val="Arial"/>
    </font>
    <font>
      <vertAlign val="superscript"/>
      <sz val="8"/>
      <color rgb="FF000000"/>
      <name val="Arial"/>
    </font>
    <font>
      <u/>
      <sz val="8"/>
      <color rgb="FF0000FF"/>
      <name val="Arial"/>
    </font>
    <font>
      <u/>
      <sz val="8"/>
      <color theme="1"/>
      <name val="Arial"/>
    </font>
  </fonts>
  <fills count="7">
    <fill>
      <patternFill patternType="none"/>
    </fill>
    <fill>
      <patternFill patternType="gray125"/>
    </fill>
    <fill>
      <patternFill patternType="solid">
        <fgColor rgb="FFCCFFCC"/>
        <bgColor rgb="FFCCFFCC"/>
      </patternFill>
    </fill>
    <fill>
      <patternFill patternType="solid">
        <fgColor rgb="FFFFFF99"/>
        <bgColor rgb="FFFFFF99"/>
      </patternFill>
    </fill>
    <fill>
      <patternFill patternType="solid">
        <fgColor rgb="FF969696"/>
        <bgColor rgb="FF969696"/>
      </patternFill>
    </fill>
    <fill>
      <patternFill patternType="solid">
        <fgColor rgb="FFC0C0C0"/>
        <bgColor rgb="FFC0C0C0"/>
      </patternFill>
    </fill>
    <fill>
      <patternFill patternType="solid">
        <fgColor rgb="FFFFFFCC"/>
        <bgColor rgb="FFFFFFCC"/>
      </patternFill>
    </fill>
  </fills>
  <borders count="15">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64">
    <xf numFmtId="0" fontId="0" fillId="0" borderId="0" xfId="0" applyFont="1" applyAlignment="1"/>
    <xf numFmtId="0" fontId="1" fillId="0" borderId="0" xfId="0" applyFont="1" applyAlignment="1"/>
    <xf numFmtId="0" fontId="1" fillId="2" borderId="1" xfId="0" applyFont="1" applyFill="1" applyBorder="1" applyAlignment="1"/>
    <xf numFmtId="0" fontId="2" fillId="2" borderId="1" xfId="0" applyFont="1" applyFill="1" applyBorder="1" applyAlignment="1">
      <alignment horizontal="left"/>
    </xf>
    <xf numFmtId="0" fontId="3" fillId="2" borderId="1" xfId="0" applyFont="1" applyFill="1" applyBorder="1" applyAlignment="1"/>
    <xf numFmtId="0" fontId="4" fillId="2" borderId="1" xfId="0" applyFont="1" applyFill="1" applyBorder="1" applyAlignment="1"/>
    <xf numFmtId="49" fontId="5" fillId="2" borderId="1" xfId="0" applyNumberFormat="1" applyFont="1" applyFill="1" applyBorder="1" applyAlignment="1">
      <alignment horizontal="right"/>
    </xf>
    <xf numFmtId="0" fontId="6" fillId="2" borderId="1" xfId="0" applyFont="1" applyFill="1" applyBorder="1" applyAlignment="1"/>
    <xf numFmtId="0" fontId="8" fillId="4" borderId="4" xfId="0" applyFont="1" applyFill="1" applyBorder="1" applyAlignment="1">
      <alignment horizontal="left" vertical="center"/>
    </xf>
    <xf numFmtId="0" fontId="8" fillId="4" borderId="5" xfId="0" applyFont="1" applyFill="1" applyBorder="1" applyAlignment="1">
      <alignment horizontal="right" vertical="center" wrapText="1"/>
    </xf>
    <xf numFmtId="0" fontId="8" fillId="4" borderId="6" xfId="0" applyFont="1" applyFill="1" applyBorder="1" applyAlignment="1">
      <alignment horizontal="right" vertical="center" wrapText="1"/>
    </xf>
    <xf numFmtId="0" fontId="9" fillId="5" borderId="7" xfId="0" applyFont="1" applyFill="1" applyBorder="1" applyAlignment="1">
      <alignment horizontal="center" vertical="center"/>
    </xf>
    <xf numFmtId="0" fontId="10" fillId="5" borderId="1" xfId="0" applyFont="1" applyFill="1" applyBorder="1" applyAlignment="1">
      <alignment horizontal="right" wrapText="1"/>
    </xf>
    <xf numFmtId="0" fontId="10" fillId="5" borderId="8" xfId="0" applyFont="1" applyFill="1" applyBorder="1" applyAlignment="1">
      <alignment horizontal="right" wrapText="1"/>
    </xf>
    <xf numFmtId="0" fontId="1" fillId="0" borderId="9" xfId="0" applyFont="1" applyBorder="1" applyAlignment="1">
      <alignment shrinkToFit="1"/>
    </xf>
    <xf numFmtId="164" fontId="1" fillId="0" borderId="10" xfId="0" applyNumberFormat="1" applyFont="1" applyBorder="1" applyAlignment="1"/>
    <xf numFmtId="165" fontId="1" fillId="0" borderId="11" xfId="0" applyNumberFormat="1" applyFont="1" applyBorder="1" applyAlignment="1"/>
    <xf numFmtId="0" fontId="3" fillId="5" borderId="12" xfId="0" applyFont="1" applyFill="1" applyBorder="1" applyAlignment="1"/>
    <xf numFmtId="0" fontId="1" fillId="5" borderId="13" xfId="0" applyFont="1" applyFill="1" applyBorder="1" applyAlignment="1"/>
    <xf numFmtId="0" fontId="1" fillId="5" borderId="14" xfId="0" applyFont="1" applyFill="1" applyBorder="1" applyAlignment="1"/>
    <xf numFmtId="0" fontId="11" fillId="2" borderId="1" xfId="0" applyFont="1" applyFill="1" applyBorder="1" applyAlignment="1">
      <alignment horizontal="right"/>
    </xf>
    <xf numFmtId="0" fontId="0" fillId="4" borderId="1" xfId="0" applyFont="1" applyFill="1" applyBorder="1" applyAlignment="1">
      <alignment horizontal="center"/>
    </xf>
    <xf numFmtId="0" fontId="8" fillId="4" borderId="1" xfId="0" applyFont="1" applyFill="1" applyBorder="1" applyAlignment="1">
      <alignment horizontal="right" wrapText="1"/>
    </xf>
    <xf numFmtId="0" fontId="12" fillId="4" borderId="1" xfId="0" applyFont="1" applyFill="1" applyBorder="1" applyAlignment="1">
      <alignment horizontal="right" wrapText="1"/>
    </xf>
    <xf numFmtId="0" fontId="1" fillId="5" borderId="1" xfId="0" applyFont="1" applyFill="1" applyBorder="1" applyAlignment="1"/>
    <xf numFmtId="0" fontId="13" fillId="5" borderId="1" xfId="0" applyFont="1" applyFill="1" applyBorder="1" applyAlignment="1"/>
    <xf numFmtId="0" fontId="14" fillId="6" borderId="1" xfId="0" applyFont="1" applyFill="1" applyBorder="1" applyAlignment="1"/>
    <xf numFmtId="0" fontId="15" fillId="6" borderId="1" xfId="0" applyFont="1" applyFill="1" applyBorder="1" applyAlignment="1">
      <alignment wrapText="1"/>
    </xf>
    <xf numFmtId="164" fontId="15" fillId="6" borderId="1" xfId="0" applyNumberFormat="1" applyFont="1" applyFill="1" applyBorder="1" applyAlignment="1">
      <alignment horizontal="right" wrapText="1"/>
    </xf>
    <xf numFmtId="165" fontId="15" fillId="6" borderId="1" xfId="0" applyNumberFormat="1" applyFont="1" applyFill="1" applyBorder="1" applyAlignment="1">
      <alignment horizontal="right" wrapText="1"/>
    </xf>
    <xf numFmtId="164" fontId="15" fillId="6" borderId="1" xfId="0" applyNumberFormat="1" applyFont="1" applyFill="1" applyBorder="1" applyAlignment="1">
      <alignment horizontal="right"/>
    </xf>
    <xf numFmtId="0" fontId="14" fillId="0" borderId="0" xfId="0" applyFont="1" applyAlignment="1"/>
    <xf numFmtId="0" fontId="16" fillId="0" borderId="0" xfId="0" applyFont="1" applyAlignment="1">
      <alignment wrapText="1"/>
    </xf>
    <xf numFmtId="164" fontId="16" fillId="0" borderId="0" xfId="0" applyNumberFormat="1" applyFont="1" applyAlignment="1">
      <alignment horizontal="right" wrapText="1"/>
    </xf>
    <xf numFmtId="165" fontId="16" fillId="0" borderId="0" xfId="0" applyNumberFormat="1" applyFont="1" applyAlignment="1">
      <alignment horizontal="right" wrapText="1"/>
    </xf>
    <xf numFmtId="0" fontId="16" fillId="0" borderId="0" xfId="0" applyFont="1" applyAlignment="1">
      <alignment horizontal="right" wrapText="1"/>
    </xf>
    <xf numFmtId="0" fontId="15" fillId="0" borderId="0" xfId="0" applyFont="1" applyAlignment="1">
      <alignment wrapText="1"/>
    </xf>
    <xf numFmtId="164" fontId="15" fillId="0" borderId="0" xfId="0" applyNumberFormat="1" applyFont="1" applyAlignment="1">
      <alignment horizontal="right" wrapText="1"/>
    </xf>
    <xf numFmtId="1" fontId="16" fillId="0" borderId="0" xfId="0" applyNumberFormat="1" applyFont="1" applyAlignment="1">
      <alignment horizontal="right" wrapText="1"/>
    </xf>
    <xf numFmtId="165" fontId="15" fillId="0" borderId="0" xfId="0" applyNumberFormat="1" applyFont="1" applyAlignment="1">
      <alignment horizontal="right" wrapText="1"/>
    </xf>
    <xf numFmtId="1" fontId="15" fillId="6" borderId="1" xfId="0" applyNumberFormat="1" applyFont="1" applyFill="1" applyBorder="1" applyAlignment="1">
      <alignment horizontal="right" wrapText="1"/>
    </xf>
    <xf numFmtId="164" fontId="16" fillId="0" borderId="0" xfId="0" applyNumberFormat="1" applyFont="1" applyAlignment="1">
      <alignment horizontal="right"/>
    </xf>
    <xf numFmtId="0" fontId="16" fillId="5" borderId="1" xfId="0" applyFont="1" applyFill="1" applyBorder="1" applyAlignment="1">
      <alignment wrapText="1"/>
    </xf>
    <xf numFmtId="164" fontId="16" fillId="5" borderId="1" xfId="0" applyNumberFormat="1" applyFont="1" applyFill="1" applyBorder="1" applyAlignment="1">
      <alignment horizontal="right" wrapText="1"/>
    </xf>
    <xf numFmtId="165" fontId="16" fillId="5" borderId="1" xfId="0" applyNumberFormat="1" applyFont="1" applyFill="1" applyBorder="1" applyAlignment="1">
      <alignment horizontal="right" wrapText="1"/>
    </xf>
    <xf numFmtId="49" fontId="15" fillId="5" borderId="1" xfId="0" applyNumberFormat="1" applyFont="1" applyFill="1" applyBorder="1" applyAlignment="1">
      <alignment horizontal="left" wrapText="1"/>
    </xf>
    <xf numFmtId="0" fontId="17" fillId="0" borderId="0" xfId="0" applyFont="1" applyAlignment="1"/>
    <xf numFmtId="0" fontId="1" fillId="0" borderId="0" xfId="0" applyFont="1" applyAlignment="1">
      <alignment wrapText="1"/>
    </xf>
    <xf numFmtId="0" fontId="15" fillId="0" borderId="0" xfId="0" applyFont="1" applyAlignment="1">
      <alignment horizontal="right" vertical="top" shrinkToFit="1"/>
    </xf>
    <xf numFmtId="0" fontId="15" fillId="0" borderId="0" xfId="0" applyFont="1" applyAlignment="1">
      <alignment horizontal="left" vertical="top" shrinkToFit="1"/>
    </xf>
    <xf numFmtId="0" fontId="15" fillId="0" borderId="0" xfId="0" applyFont="1" applyAlignment="1"/>
    <xf numFmtId="0" fontId="21" fillId="0" borderId="0" xfId="0" applyFont="1" applyAlignment="1">
      <alignment vertical="top" wrapText="1"/>
    </xf>
    <xf numFmtId="0" fontId="1" fillId="3" borderId="2" xfId="0" applyFont="1" applyFill="1" applyBorder="1" applyAlignment="1">
      <alignment horizontal="center" shrinkToFit="1"/>
    </xf>
    <xf numFmtId="0" fontId="7" fillId="0" borderId="3" xfId="0" applyFont="1" applyBorder="1"/>
    <xf numFmtId="49" fontId="15" fillId="0" borderId="0" xfId="0" applyNumberFormat="1" applyFont="1" applyAlignment="1">
      <alignment horizontal="left" wrapText="1"/>
    </xf>
    <xf numFmtId="0" fontId="0" fillId="0" borderId="0" xfId="0" applyFont="1" applyAlignment="1"/>
    <xf numFmtId="49" fontId="18" fillId="0" borderId="0" xfId="0" applyNumberFormat="1" applyFont="1" applyAlignment="1">
      <alignment horizontal="left" wrapText="1"/>
    </xf>
    <xf numFmtId="0" fontId="15" fillId="0" borderId="0" xfId="0" applyFont="1" applyAlignment="1">
      <alignment horizontal="left" vertical="top"/>
    </xf>
    <xf numFmtId="0" fontId="15" fillId="0" borderId="0" xfId="0" applyFont="1" applyAlignment="1">
      <alignment horizontal="left" vertical="top" wrapText="1"/>
    </xf>
    <xf numFmtId="0" fontId="15" fillId="0" borderId="0" xfId="0" applyFont="1" applyAlignment="1">
      <alignment horizontal="left" wrapText="1"/>
    </xf>
    <xf numFmtId="0" fontId="20" fillId="0" borderId="0" xfId="0" applyFont="1" applyAlignment="1">
      <alignment horizontal="left" vertical="top" wrapText="1"/>
    </xf>
    <xf numFmtId="0" fontId="15" fillId="0" borderId="0" xfId="0" applyFont="1" applyAlignment="1">
      <alignment wrapText="1"/>
    </xf>
    <xf numFmtId="0" fontId="22" fillId="0" borderId="0" xfId="0" applyFont="1" applyAlignment="1">
      <alignment wrapText="1"/>
    </xf>
    <xf numFmtId="0" fontId="19"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8" topLeftCell="A19" activePane="bottomLeft" state="frozen"/>
      <selection pane="bottomLeft" activeCell="C17" sqref="C17"/>
    </sheetView>
  </sheetViews>
  <sheetFormatPr defaultColWidth="14.44140625" defaultRowHeight="15" customHeight="1" x14ac:dyDescent="0.25"/>
  <cols>
    <col min="1" max="1" width="0.88671875" customWidth="1"/>
    <col min="2" max="2" width="2.109375" customWidth="1"/>
    <col min="3" max="3" width="30.5546875" customWidth="1"/>
    <col min="4" max="4" width="11.44140625" customWidth="1"/>
    <col min="5" max="5" width="12.5546875" customWidth="1"/>
    <col min="6" max="6" width="10" customWidth="1"/>
    <col min="7" max="7" width="6.109375" customWidth="1"/>
    <col min="8" max="26" width="8" customWidth="1"/>
  </cols>
  <sheetData>
    <row r="1" spans="1:26" ht="12.75" customHeight="1" x14ac:dyDescent="0.25">
      <c r="A1" s="1"/>
      <c r="B1" s="2"/>
      <c r="C1" s="2"/>
      <c r="D1" s="2"/>
      <c r="E1" s="2"/>
      <c r="F1" s="2"/>
      <c r="G1" s="2"/>
      <c r="H1" s="1"/>
      <c r="I1" s="1"/>
      <c r="J1" s="1"/>
      <c r="K1" s="1"/>
      <c r="L1" s="1"/>
      <c r="M1" s="1"/>
      <c r="N1" s="1"/>
      <c r="O1" s="1"/>
      <c r="P1" s="1"/>
      <c r="Q1" s="1"/>
      <c r="R1" s="1"/>
      <c r="S1" s="1"/>
      <c r="T1" s="1"/>
      <c r="U1" s="1"/>
      <c r="V1" s="1"/>
      <c r="W1" s="1"/>
      <c r="X1" s="1"/>
      <c r="Y1" s="1"/>
      <c r="Z1" s="1"/>
    </row>
    <row r="2" spans="1:26" ht="19.5" customHeight="1" x14ac:dyDescent="0.35">
      <c r="A2" s="1"/>
      <c r="B2" s="2"/>
      <c r="C2" s="3" t="s">
        <v>0</v>
      </c>
      <c r="D2" s="2"/>
      <c r="E2" s="2"/>
      <c r="F2" s="2"/>
      <c r="G2" s="2"/>
      <c r="H2" s="1"/>
      <c r="I2" s="1"/>
      <c r="J2" s="1"/>
      <c r="K2" s="1"/>
      <c r="L2" s="1"/>
      <c r="M2" s="1"/>
      <c r="N2" s="1"/>
      <c r="O2" s="1"/>
      <c r="P2" s="1"/>
      <c r="Q2" s="1"/>
      <c r="R2" s="1"/>
      <c r="S2" s="1"/>
      <c r="T2" s="1"/>
      <c r="U2" s="1"/>
      <c r="V2" s="1"/>
      <c r="W2" s="1"/>
      <c r="X2" s="1"/>
      <c r="Y2" s="1"/>
      <c r="Z2" s="1"/>
    </row>
    <row r="3" spans="1:26" ht="12.75" customHeight="1" x14ac:dyDescent="0.25">
      <c r="A3" s="1"/>
      <c r="B3" s="2"/>
      <c r="C3" s="4"/>
      <c r="D3" s="2"/>
      <c r="E3" s="2"/>
      <c r="F3" s="2"/>
      <c r="G3" s="2"/>
      <c r="H3" s="1"/>
      <c r="I3" s="1"/>
      <c r="J3" s="1"/>
      <c r="K3" s="1"/>
      <c r="L3" s="1"/>
      <c r="M3" s="1"/>
      <c r="N3" s="1"/>
      <c r="O3" s="1"/>
      <c r="P3" s="1"/>
      <c r="Q3" s="1"/>
      <c r="R3" s="1"/>
      <c r="S3" s="1"/>
      <c r="T3" s="1"/>
      <c r="U3" s="1"/>
      <c r="V3" s="1"/>
      <c r="W3" s="1"/>
      <c r="X3" s="1"/>
      <c r="Y3" s="1"/>
      <c r="Z3" s="1"/>
    </row>
    <row r="4" spans="1:26" ht="12.75" customHeight="1" x14ac:dyDescent="0.25">
      <c r="A4" s="1"/>
      <c r="B4" s="2"/>
      <c r="C4" s="4" t="s">
        <v>1</v>
      </c>
      <c r="D4" s="2"/>
      <c r="E4" s="2"/>
      <c r="F4" s="2"/>
      <c r="G4" s="2"/>
      <c r="H4" s="1"/>
      <c r="I4" s="1"/>
      <c r="J4" s="1"/>
      <c r="K4" s="1"/>
      <c r="L4" s="1"/>
      <c r="M4" s="1"/>
      <c r="N4" s="1"/>
      <c r="O4" s="1"/>
      <c r="P4" s="1"/>
      <c r="Q4" s="1"/>
      <c r="R4" s="1"/>
      <c r="S4" s="1"/>
      <c r="T4" s="1"/>
      <c r="U4" s="1"/>
      <c r="V4" s="1"/>
      <c r="W4" s="1"/>
      <c r="X4" s="1"/>
      <c r="Y4" s="1"/>
      <c r="Z4" s="1"/>
    </row>
    <row r="5" spans="1:26" ht="6" customHeight="1" x14ac:dyDescent="0.3">
      <c r="A5" s="1"/>
      <c r="B5" s="2"/>
      <c r="C5" s="5"/>
      <c r="D5" s="2"/>
      <c r="E5" s="2"/>
      <c r="F5" s="2"/>
      <c r="G5" s="2"/>
      <c r="H5" s="1"/>
      <c r="I5" s="1"/>
      <c r="J5" s="1"/>
      <c r="K5" s="1"/>
      <c r="L5" s="1"/>
      <c r="M5" s="1"/>
      <c r="N5" s="1"/>
      <c r="O5" s="1"/>
      <c r="P5" s="1"/>
      <c r="Q5" s="1"/>
      <c r="R5" s="1"/>
      <c r="S5" s="1"/>
      <c r="T5" s="1"/>
      <c r="U5" s="1"/>
      <c r="V5" s="1"/>
      <c r="W5" s="1"/>
      <c r="X5" s="1"/>
      <c r="Y5" s="1"/>
      <c r="Z5" s="1"/>
    </row>
    <row r="6" spans="1:26" ht="12.75" customHeight="1" x14ac:dyDescent="0.25">
      <c r="A6" s="1"/>
      <c r="B6" s="2"/>
      <c r="C6" s="4"/>
      <c r="D6" s="2"/>
      <c r="E6" s="2"/>
      <c r="F6" s="6" t="s">
        <v>2</v>
      </c>
      <c r="G6" s="2"/>
      <c r="H6" s="1"/>
      <c r="I6" s="1"/>
      <c r="J6" s="1"/>
      <c r="K6" s="1"/>
      <c r="L6" s="1"/>
      <c r="M6" s="1"/>
      <c r="N6" s="1"/>
      <c r="O6" s="1"/>
      <c r="P6" s="1"/>
      <c r="Q6" s="1"/>
      <c r="R6" s="1"/>
      <c r="S6" s="1"/>
      <c r="T6" s="1"/>
      <c r="U6" s="1"/>
      <c r="V6" s="1"/>
      <c r="W6" s="1"/>
      <c r="X6" s="1"/>
      <c r="Y6" s="1"/>
      <c r="Z6" s="1"/>
    </row>
    <row r="7" spans="1:26" ht="4.5" customHeight="1" x14ac:dyDescent="0.25">
      <c r="A7" s="1"/>
      <c r="B7" s="2"/>
      <c r="C7" s="4"/>
      <c r="D7" s="2"/>
      <c r="E7" s="2"/>
      <c r="F7" s="6"/>
      <c r="G7" s="2"/>
      <c r="H7" s="1"/>
      <c r="I7" s="1"/>
      <c r="J7" s="1"/>
      <c r="K7" s="1"/>
      <c r="L7" s="1"/>
      <c r="M7" s="1"/>
      <c r="N7" s="1"/>
      <c r="O7" s="1"/>
      <c r="P7" s="1"/>
      <c r="Q7" s="1"/>
      <c r="R7" s="1"/>
      <c r="S7" s="1"/>
      <c r="T7" s="1"/>
      <c r="U7" s="1"/>
      <c r="V7" s="1"/>
      <c r="W7" s="1"/>
      <c r="X7" s="1"/>
      <c r="Y7" s="1"/>
      <c r="Z7" s="1"/>
    </row>
    <row r="8" spans="1:26" ht="12.75" customHeight="1" x14ac:dyDescent="0.25">
      <c r="A8" s="1"/>
      <c r="B8" s="2"/>
      <c r="C8" s="7" t="s">
        <v>3</v>
      </c>
      <c r="D8" s="2"/>
      <c r="E8" s="2"/>
      <c r="F8" s="52" t="s">
        <v>4</v>
      </c>
      <c r="G8" s="53"/>
      <c r="H8" s="1"/>
      <c r="I8" s="1"/>
      <c r="J8" s="1"/>
      <c r="K8" s="1"/>
      <c r="L8" s="1"/>
      <c r="M8" s="1"/>
      <c r="N8" s="1"/>
      <c r="O8" s="1"/>
      <c r="P8" s="1"/>
      <c r="Q8" s="1"/>
      <c r="R8" s="1"/>
      <c r="S8" s="1"/>
      <c r="T8" s="1"/>
      <c r="U8" s="1"/>
      <c r="V8" s="1"/>
      <c r="W8" s="1"/>
      <c r="X8" s="1"/>
      <c r="Y8" s="1"/>
      <c r="Z8" s="1"/>
    </row>
    <row r="9" spans="1:26" ht="13.5" customHeight="1" x14ac:dyDescent="0.25">
      <c r="A9" s="1"/>
      <c r="B9" s="2"/>
      <c r="C9" s="4"/>
      <c r="D9" s="2"/>
      <c r="E9" s="2"/>
      <c r="F9" s="2"/>
      <c r="G9" s="2"/>
      <c r="H9" s="1"/>
      <c r="I9" s="1"/>
      <c r="J9" s="1"/>
      <c r="K9" s="1"/>
      <c r="L9" s="1"/>
      <c r="M9" s="1"/>
      <c r="N9" s="1"/>
      <c r="O9" s="1"/>
      <c r="P9" s="1"/>
      <c r="Q9" s="1"/>
      <c r="R9" s="1"/>
      <c r="S9" s="1"/>
      <c r="T9" s="1"/>
      <c r="U9" s="1"/>
      <c r="V9" s="1"/>
      <c r="W9" s="1"/>
      <c r="X9" s="1"/>
      <c r="Y9" s="1"/>
      <c r="Z9" s="1"/>
    </row>
    <row r="10" spans="1:26" ht="51" customHeight="1" x14ac:dyDescent="0.25">
      <c r="A10" s="1"/>
      <c r="B10" s="2"/>
      <c r="C10" s="8" t="s">
        <v>5</v>
      </c>
      <c r="D10" s="9" t="s">
        <v>6</v>
      </c>
      <c r="E10" s="9" t="s">
        <v>7</v>
      </c>
      <c r="F10" s="10" t="s">
        <v>8</v>
      </c>
      <c r="G10" s="2"/>
      <c r="H10" s="1"/>
      <c r="I10" s="1"/>
      <c r="J10" s="1"/>
      <c r="K10" s="1"/>
      <c r="L10" s="1"/>
      <c r="M10" s="1"/>
      <c r="N10" s="1"/>
      <c r="O10" s="1"/>
      <c r="P10" s="1"/>
      <c r="Q10" s="1"/>
      <c r="R10" s="1"/>
      <c r="S10" s="1"/>
      <c r="T10" s="1"/>
      <c r="U10" s="1"/>
      <c r="V10" s="1"/>
      <c r="W10" s="1"/>
      <c r="X10" s="1"/>
      <c r="Y10" s="1"/>
      <c r="Z10" s="1"/>
    </row>
    <row r="11" spans="1:26" ht="12.75" customHeight="1" x14ac:dyDescent="0.25">
      <c r="A11" s="1"/>
      <c r="B11" s="2"/>
      <c r="C11" s="11"/>
      <c r="D11" s="12" t="s">
        <v>9</v>
      </c>
      <c r="E11" s="12" t="s">
        <v>10</v>
      </c>
      <c r="F11" s="13" t="s">
        <v>11</v>
      </c>
      <c r="G11" s="2"/>
      <c r="H11" s="1"/>
      <c r="I11" s="1"/>
      <c r="J11" s="1"/>
      <c r="K11" s="1"/>
      <c r="L11" s="1"/>
      <c r="M11" s="1"/>
      <c r="N11" s="1"/>
      <c r="O11" s="1"/>
      <c r="P11" s="1"/>
      <c r="Q11" s="1"/>
      <c r="R11" s="1"/>
      <c r="S11" s="1"/>
      <c r="T11" s="1"/>
      <c r="U11" s="1"/>
      <c r="V11" s="1"/>
      <c r="W11" s="1"/>
      <c r="X11" s="1"/>
      <c r="Y11" s="1"/>
      <c r="Z11" s="1"/>
    </row>
    <row r="12" spans="1:26" ht="12.75" customHeight="1" x14ac:dyDescent="0.25">
      <c r="A12" s="1"/>
      <c r="B12" s="2"/>
      <c r="C12" s="14" t="str">
        <f>F8</f>
        <v>India</v>
      </c>
      <c r="D12" s="15">
        <f>VLOOKUP(F8,B19:F245,3,TRUE)</f>
        <v>33195</v>
      </c>
      <c r="E12" s="15">
        <f>VLOOKUP(F8,B19:F245,4,TRUE)</f>
        <v>26</v>
      </c>
      <c r="F12" s="16">
        <f>VLOOKUP(F8,B19:F245,5,TRUE)</f>
        <v>14.96908</v>
      </c>
      <c r="G12" s="2"/>
      <c r="H12" s="1"/>
      <c r="I12" s="1"/>
      <c r="J12" s="1"/>
      <c r="K12" s="1"/>
      <c r="L12" s="1"/>
      <c r="M12" s="1"/>
      <c r="N12" s="1"/>
      <c r="O12" s="1"/>
      <c r="P12" s="1"/>
      <c r="Q12" s="1"/>
      <c r="R12" s="1"/>
      <c r="S12" s="1"/>
      <c r="T12" s="1"/>
      <c r="U12" s="1"/>
      <c r="V12" s="1"/>
      <c r="W12" s="1"/>
      <c r="X12" s="1"/>
      <c r="Y12" s="1"/>
      <c r="Z12" s="1"/>
    </row>
    <row r="13" spans="1:26" ht="13.5" customHeight="1" x14ac:dyDescent="0.25">
      <c r="A13" s="1"/>
      <c r="B13" s="2"/>
      <c r="C13" s="17"/>
      <c r="D13" s="18"/>
      <c r="E13" s="18"/>
      <c r="F13" s="19"/>
      <c r="G13" s="2"/>
      <c r="H13" s="1"/>
      <c r="I13" s="1"/>
      <c r="J13" s="1"/>
      <c r="K13" s="1"/>
      <c r="L13" s="1"/>
      <c r="M13" s="1"/>
      <c r="N13" s="1"/>
      <c r="O13" s="1"/>
      <c r="P13" s="1"/>
      <c r="Q13" s="1"/>
      <c r="R13" s="1"/>
      <c r="S13" s="1"/>
      <c r="T13" s="1"/>
      <c r="U13" s="1"/>
      <c r="V13" s="1"/>
      <c r="W13" s="1"/>
      <c r="X13" s="1"/>
      <c r="Y13" s="1"/>
      <c r="Z13" s="1"/>
    </row>
    <row r="14" spans="1:26" ht="12.75" customHeight="1" x14ac:dyDescent="0.25">
      <c r="A14" s="1"/>
      <c r="B14" s="2"/>
      <c r="C14" s="4"/>
      <c r="D14" s="2"/>
      <c r="E14" s="2"/>
      <c r="F14" s="20" t="s">
        <v>12</v>
      </c>
      <c r="G14" s="2"/>
      <c r="H14" s="1"/>
      <c r="I14" s="1"/>
      <c r="J14" s="1"/>
      <c r="K14" s="1"/>
      <c r="L14" s="1"/>
      <c r="M14" s="1"/>
      <c r="N14" s="1"/>
      <c r="O14" s="1"/>
      <c r="P14" s="1"/>
      <c r="Q14" s="1"/>
      <c r="R14" s="1"/>
      <c r="S14" s="1"/>
      <c r="T14" s="1"/>
      <c r="U14" s="1"/>
      <c r="V14" s="1"/>
      <c r="W14" s="1"/>
      <c r="X14" s="1"/>
      <c r="Y14" s="1"/>
      <c r="Z14" s="1"/>
    </row>
    <row r="15" spans="1:26" ht="12" customHeight="1" x14ac:dyDescent="0.25">
      <c r="A15" s="1"/>
      <c r="B15" s="2"/>
      <c r="C15" s="2"/>
      <c r="D15" s="2"/>
      <c r="E15" s="2"/>
      <c r="F15" s="2"/>
      <c r="G15" s="2"/>
      <c r="H15" s="1"/>
      <c r="I15" s="1"/>
      <c r="J15" s="1"/>
      <c r="K15" s="1"/>
      <c r="L15" s="1"/>
      <c r="M15" s="1"/>
      <c r="N15" s="1"/>
      <c r="O15" s="1"/>
      <c r="P15" s="1"/>
      <c r="Q15" s="1"/>
      <c r="R15" s="1"/>
      <c r="S15" s="1"/>
      <c r="T15" s="1"/>
      <c r="U15" s="1"/>
      <c r="V15" s="1"/>
      <c r="W15" s="1"/>
      <c r="X15" s="1"/>
      <c r="Y15" s="1"/>
      <c r="Z15" s="1"/>
    </row>
    <row r="16" spans="1:26" ht="14.2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33.75" customHeight="1" x14ac:dyDescent="0.25">
      <c r="A17" s="1"/>
      <c r="B17" s="21"/>
      <c r="C17" s="21" t="s">
        <v>5</v>
      </c>
      <c r="D17" s="22" t="s">
        <v>6</v>
      </c>
      <c r="E17" s="22" t="s">
        <v>7</v>
      </c>
      <c r="F17" s="22" t="s">
        <v>8</v>
      </c>
      <c r="G17" s="23"/>
      <c r="H17" s="1"/>
      <c r="I17" s="1"/>
      <c r="J17" s="1"/>
      <c r="K17" s="1"/>
      <c r="L17" s="1"/>
      <c r="M17" s="1"/>
      <c r="N17" s="1"/>
      <c r="O17" s="1"/>
      <c r="P17" s="1"/>
      <c r="Q17" s="1"/>
      <c r="R17" s="1"/>
      <c r="S17" s="1"/>
      <c r="T17" s="1"/>
      <c r="U17" s="1"/>
      <c r="V17" s="1"/>
      <c r="W17" s="1"/>
      <c r="X17" s="1"/>
      <c r="Y17" s="1"/>
      <c r="Z17" s="1"/>
    </row>
    <row r="18" spans="1:26" ht="12.75" customHeight="1" x14ac:dyDescent="0.25">
      <c r="A18" s="1"/>
      <c r="B18" s="24"/>
      <c r="C18" s="24"/>
      <c r="D18" s="12" t="s">
        <v>9</v>
      </c>
      <c r="E18" s="12" t="s">
        <v>10</v>
      </c>
      <c r="F18" s="12" t="s">
        <v>11</v>
      </c>
      <c r="G18" s="25"/>
      <c r="H18" s="1"/>
      <c r="I18" s="1"/>
      <c r="J18" s="1"/>
      <c r="K18" s="1"/>
      <c r="L18" s="1"/>
      <c r="M18" s="1"/>
      <c r="N18" s="1"/>
      <c r="O18" s="1"/>
      <c r="P18" s="1"/>
      <c r="Q18" s="1"/>
      <c r="R18" s="1"/>
      <c r="S18" s="1"/>
      <c r="T18" s="1"/>
      <c r="U18" s="1"/>
      <c r="V18" s="1"/>
      <c r="W18" s="1"/>
      <c r="X18" s="1"/>
      <c r="Y18" s="1"/>
      <c r="Z18" s="1"/>
    </row>
    <row r="19" spans="1:26" ht="12.75" customHeight="1" x14ac:dyDescent="0.25">
      <c r="A19" s="1"/>
      <c r="B19" s="26" t="s">
        <v>13</v>
      </c>
      <c r="C19" s="27" t="s">
        <v>13</v>
      </c>
      <c r="D19" s="28">
        <v>321</v>
      </c>
      <c r="E19" s="28">
        <v>10</v>
      </c>
      <c r="F19" s="29">
        <v>78.669280000000001</v>
      </c>
      <c r="G19" s="29"/>
      <c r="H19" s="1"/>
      <c r="I19" s="1"/>
      <c r="J19" s="1"/>
      <c r="K19" s="1"/>
      <c r="L19" s="1"/>
      <c r="M19" s="1"/>
      <c r="N19" s="1"/>
      <c r="O19" s="1"/>
      <c r="P19" s="1"/>
      <c r="Q19" s="1"/>
      <c r="R19" s="1"/>
      <c r="S19" s="1"/>
      <c r="T19" s="1"/>
      <c r="U19" s="1"/>
      <c r="V19" s="1"/>
      <c r="W19" s="1"/>
      <c r="X19" s="1"/>
      <c r="Y19" s="1"/>
      <c r="Z19" s="1"/>
    </row>
    <row r="20" spans="1:26" ht="12.75" customHeight="1" x14ac:dyDescent="0.25">
      <c r="A20" s="1"/>
      <c r="B20" s="26" t="s">
        <v>14</v>
      </c>
      <c r="C20" s="27" t="s">
        <v>14</v>
      </c>
      <c r="D20" s="28">
        <v>102</v>
      </c>
      <c r="E20" s="28">
        <v>35</v>
      </c>
      <c r="F20" s="29">
        <v>100</v>
      </c>
      <c r="G20" s="29"/>
      <c r="H20" s="1"/>
      <c r="I20" s="1"/>
      <c r="J20" s="1"/>
      <c r="K20" s="1"/>
      <c r="L20" s="1"/>
      <c r="M20" s="1"/>
      <c r="N20" s="1"/>
      <c r="O20" s="1"/>
      <c r="P20" s="1"/>
      <c r="Q20" s="1"/>
      <c r="R20" s="1"/>
      <c r="S20" s="1"/>
      <c r="T20" s="1"/>
      <c r="U20" s="1"/>
      <c r="V20" s="1"/>
      <c r="W20" s="1"/>
      <c r="X20" s="1"/>
      <c r="Y20" s="1"/>
      <c r="Z20" s="1"/>
    </row>
    <row r="21" spans="1:26" ht="12.75" customHeight="1" x14ac:dyDescent="0.25">
      <c r="A21" s="1"/>
      <c r="B21" s="26" t="s">
        <v>15</v>
      </c>
      <c r="C21" s="27" t="s">
        <v>15</v>
      </c>
      <c r="D21" s="28">
        <v>1959</v>
      </c>
      <c r="E21" s="28">
        <v>51</v>
      </c>
      <c r="F21" s="29">
        <v>0.55101</v>
      </c>
      <c r="G21" s="29"/>
      <c r="H21" s="1"/>
      <c r="I21" s="1"/>
      <c r="J21" s="1"/>
      <c r="K21" s="1"/>
      <c r="L21" s="1"/>
      <c r="M21" s="1"/>
      <c r="N21" s="1"/>
      <c r="O21" s="1"/>
      <c r="P21" s="1"/>
      <c r="Q21" s="1"/>
      <c r="R21" s="1"/>
      <c r="S21" s="1"/>
      <c r="T21" s="1"/>
      <c r="U21" s="1"/>
      <c r="V21" s="1"/>
      <c r="W21" s="1"/>
      <c r="X21" s="1"/>
      <c r="Y21" s="1"/>
      <c r="Z21" s="1"/>
    </row>
    <row r="22" spans="1:26" ht="12.75" customHeight="1" x14ac:dyDescent="0.25">
      <c r="A22" s="1"/>
      <c r="B22" s="26" t="s">
        <v>16</v>
      </c>
      <c r="C22" s="27" t="s">
        <v>16</v>
      </c>
      <c r="D22" s="30" t="s">
        <v>17</v>
      </c>
      <c r="E22" s="28" t="s">
        <v>17</v>
      </c>
      <c r="F22" s="29">
        <v>0.64102599999999998</v>
      </c>
      <c r="G22" s="29"/>
      <c r="H22" s="1"/>
      <c r="I22" s="1"/>
      <c r="J22" s="1"/>
      <c r="K22" s="1"/>
      <c r="L22" s="1"/>
      <c r="M22" s="1"/>
      <c r="N22" s="1"/>
      <c r="O22" s="1"/>
      <c r="P22" s="1"/>
      <c r="Q22" s="1"/>
      <c r="R22" s="1"/>
      <c r="S22" s="1"/>
      <c r="T22" s="1"/>
      <c r="U22" s="1"/>
      <c r="V22" s="1"/>
      <c r="W22" s="1"/>
      <c r="X22" s="1"/>
      <c r="Y22" s="1"/>
      <c r="Z22" s="1"/>
    </row>
    <row r="23" spans="1:26" ht="12.75" customHeight="1" x14ac:dyDescent="0.25">
      <c r="A23" s="1"/>
      <c r="B23" s="26" t="s">
        <v>18</v>
      </c>
      <c r="C23" s="27" t="s">
        <v>18</v>
      </c>
      <c r="D23" s="28">
        <v>9</v>
      </c>
      <c r="E23" s="28">
        <v>121</v>
      </c>
      <c r="F23" s="29">
        <v>88.695650000000001</v>
      </c>
      <c r="G23" s="29"/>
      <c r="H23" s="1"/>
      <c r="I23" s="1"/>
      <c r="J23" s="1"/>
      <c r="K23" s="1"/>
      <c r="L23" s="1"/>
      <c r="M23" s="1"/>
      <c r="N23" s="1"/>
      <c r="O23" s="1"/>
      <c r="P23" s="1"/>
      <c r="Q23" s="1"/>
      <c r="R23" s="1"/>
      <c r="S23" s="1"/>
      <c r="T23" s="1"/>
      <c r="U23" s="1"/>
      <c r="V23" s="1"/>
      <c r="W23" s="1"/>
      <c r="X23" s="1"/>
      <c r="Y23" s="1"/>
      <c r="Z23" s="1"/>
    </row>
    <row r="24" spans="1:26" ht="12.75" customHeight="1" x14ac:dyDescent="0.25">
      <c r="A24" s="1"/>
      <c r="B24" s="31" t="s">
        <v>19</v>
      </c>
      <c r="C24" s="32" t="s">
        <v>19</v>
      </c>
      <c r="D24" s="33">
        <v>642</v>
      </c>
      <c r="E24" s="33">
        <v>27</v>
      </c>
      <c r="F24" s="34">
        <v>70.909090000000006</v>
      </c>
      <c r="G24" s="34"/>
      <c r="H24" s="1"/>
      <c r="I24" s="1"/>
      <c r="J24" s="1"/>
      <c r="K24" s="1"/>
      <c r="L24" s="1"/>
      <c r="M24" s="1"/>
      <c r="N24" s="1"/>
      <c r="O24" s="1"/>
      <c r="P24" s="1"/>
      <c r="Q24" s="1"/>
      <c r="R24" s="1"/>
      <c r="S24" s="1"/>
      <c r="T24" s="1"/>
      <c r="U24" s="1"/>
      <c r="V24" s="1"/>
      <c r="W24" s="1"/>
      <c r="X24" s="1"/>
      <c r="Y24" s="1"/>
      <c r="Z24" s="1"/>
    </row>
    <row r="25" spans="1:26" ht="12.75" customHeight="1" x14ac:dyDescent="0.25">
      <c r="A25" s="1"/>
      <c r="B25" s="31" t="s">
        <v>20</v>
      </c>
      <c r="C25" s="32" t="s">
        <v>20</v>
      </c>
      <c r="D25" s="33">
        <v>2</v>
      </c>
      <c r="E25" s="33">
        <v>136</v>
      </c>
      <c r="F25" s="34">
        <v>0</v>
      </c>
      <c r="G25" s="34"/>
      <c r="H25" s="1"/>
      <c r="I25" s="1"/>
      <c r="J25" s="1"/>
      <c r="K25" s="1"/>
      <c r="L25" s="1"/>
      <c r="M25" s="1"/>
      <c r="N25" s="1"/>
      <c r="O25" s="1"/>
      <c r="P25" s="1"/>
      <c r="Q25" s="1"/>
      <c r="R25" s="1"/>
      <c r="S25" s="1"/>
      <c r="T25" s="1"/>
      <c r="U25" s="1"/>
      <c r="V25" s="1"/>
      <c r="W25" s="1"/>
      <c r="X25" s="1"/>
      <c r="Y25" s="1"/>
      <c r="Z25" s="1"/>
    </row>
    <row r="26" spans="1:26" ht="12.75" customHeight="1" x14ac:dyDescent="0.25">
      <c r="A26" s="1"/>
      <c r="B26" s="31" t="s">
        <v>21</v>
      </c>
      <c r="C26" s="32" t="s">
        <v>21</v>
      </c>
      <c r="D26" s="33">
        <v>8</v>
      </c>
      <c r="E26" s="33">
        <v>84</v>
      </c>
      <c r="F26" s="34">
        <v>0</v>
      </c>
      <c r="G26" s="34"/>
      <c r="H26" s="1"/>
      <c r="I26" s="1"/>
      <c r="J26" s="1"/>
      <c r="K26" s="1"/>
      <c r="L26" s="1"/>
      <c r="M26" s="1"/>
      <c r="N26" s="1"/>
      <c r="O26" s="1"/>
      <c r="P26" s="1"/>
      <c r="Q26" s="1"/>
      <c r="R26" s="1"/>
      <c r="S26" s="1"/>
      <c r="T26" s="1"/>
      <c r="U26" s="1"/>
      <c r="V26" s="1"/>
      <c r="W26" s="1"/>
      <c r="X26" s="1"/>
      <c r="Y26" s="1"/>
      <c r="Z26" s="1"/>
    </row>
    <row r="27" spans="1:26" ht="12.75" customHeight="1" x14ac:dyDescent="0.25">
      <c r="A27" s="1"/>
      <c r="B27" s="31" t="s">
        <v>22</v>
      </c>
      <c r="C27" s="32" t="s">
        <v>22</v>
      </c>
      <c r="D27" s="33">
        <v>3378</v>
      </c>
      <c r="E27" s="33">
        <v>79</v>
      </c>
      <c r="F27" s="34">
        <v>24.064520000000002</v>
      </c>
      <c r="G27" s="34"/>
      <c r="H27" s="1"/>
      <c r="I27" s="1"/>
      <c r="J27" s="1"/>
      <c r="K27" s="1"/>
      <c r="L27" s="1"/>
      <c r="M27" s="1"/>
      <c r="N27" s="1"/>
      <c r="O27" s="1"/>
      <c r="P27" s="1"/>
      <c r="Q27" s="1"/>
      <c r="R27" s="1"/>
      <c r="S27" s="1"/>
      <c r="T27" s="1"/>
      <c r="U27" s="1"/>
      <c r="V27" s="1"/>
      <c r="W27" s="1"/>
      <c r="X27" s="1"/>
      <c r="Y27" s="1"/>
      <c r="Z27" s="1"/>
    </row>
    <row r="28" spans="1:26" ht="12.75" customHeight="1" x14ac:dyDescent="0.25">
      <c r="A28" s="1"/>
      <c r="B28" s="31" t="s">
        <v>23</v>
      </c>
      <c r="C28" s="32" t="s">
        <v>23</v>
      </c>
      <c r="D28" s="33">
        <v>143</v>
      </c>
      <c r="E28" s="33">
        <v>48</v>
      </c>
      <c r="F28" s="34">
        <v>28.236059999999998</v>
      </c>
      <c r="G28" s="34"/>
      <c r="H28" s="1"/>
      <c r="I28" s="1"/>
      <c r="J28" s="1"/>
      <c r="K28" s="1"/>
      <c r="L28" s="1"/>
      <c r="M28" s="1"/>
      <c r="N28" s="1"/>
      <c r="O28" s="1"/>
      <c r="P28" s="1"/>
      <c r="Q28" s="1"/>
      <c r="R28" s="1"/>
      <c r="S28" s="1"/>
      <c r="T28" s="1"/>
      <c r="U28" s="1"/>
      <c r="V28" s="1"/>
      <c r="W28" s="1"/>
      <c r="X28" s="1"/>
      <c r="Y28" s="1"/>
      <c r="Z28" s="1"/>
    </row>
    <row r="29" spans="1:26" ht="12.75" customHeight="1" x14ac:dyDescent="0.25">
      <c r="A29" s="1"/>
      <c r="B29" s="26" t="s">
        <v>24</v>
      </c>
      <c r="C29" s="27" t="s">
        <v>24</v>
      </c>
      <c r="D29" s="28">
        <v>12</v>
      </c>
      <c r="E29" s="28">
        <v>120</v>
      </c>
      <c r="F29" s="29">
        <v>14.87069</v>
      </c>
      <c r="G29" s="29"/>
      <c r="H29" s="1"/>
      <c r="I29" s="1"/>
      <c r="J29" s="1"/>
      <c r="K29" s="1"/>
      <c r="L29" s="1"/>
      <c r="M29" s="1"/>
      <c r="N29" s="1"/>
      <c r="O29" s="1"/>
      <c r="P29" s="1"/>
      <c r="Q29" s="1"/>
      <c r="R29" s="1"/>
      <c r="S29" s="1"/>
      <c r="T29" s="1"/>
      <c r="U29" s="1"/>
      <c r="V29" s="1"/>
      <c r="W29" s="1"/>
      <c r="X29" s="1"/>
      <c r="Y29" s="1"/>
      <c r="Z29" s="1"/>
    </row>
    <row r="30" spans="1:26" ht="12.75" customHeight="1" x14ac:dyDescent="0.25">
      <c r="A30" s="1"/>
      <c r="B30" s="26" t="s">
        <v>25</v>
      </c>
      <c r="C30" s="27" t="s">
        <v>26</v>
      </c>
      <c r="D30" s="28">
        <v>5386</v>
      </c>
      <c r="E30" s="28">
        <v>231</v>
      </c>
      <c r="F30" s="29">
        <v>11.81081</v>
      </c>
      <c r="G30" s="29"/>
      <c r="H30" s="1"/>
      <c r="I30" s="1"/>
      <c r="J30" s="1"/>
      <c r="K30" s="1"/>
      <c r="L30" s="1"/>
      <c r="M30" s="1"/>
      <c r="N30" s="1"/>
      <c r="O30" s="1"/>
      <c r="P30" s="1"/>
      <c r="Q30" s="1"/>
      <c r="R30" s="1"/>
      <c r="S30" s="1"/>
      <c r="T30" s="1"/>
      <c r="U30" s="1"/>
      <c r="V30" s="1"/>
      <c r="W30" s="1"/>
      <c r="X30" s="1"/>
      <c r="Y30" s="1"/>
      <c r="Z30" s="1"/>
    </row>
    <row r="31" spans="1:26" ht="12.75" customHeight="1" x14ac:dyDescent="0.25">
      <c r="A31" s="1"/>
      <c r="B31" s="26" t="s">
        <v>27</v>
      </c>
      <c r="C31" s="27" t="s">
        <v>27</v>
      </c>
      <c r="D31" s="28">
        <v>1391</v>
      </c>
      <c r="E31" s="28">
        <v>164</v>
      </c>
      <c r="F31" s="29">
        <v>72.452820000000003</v>
      </c>
      <c r="G31" s="29"/>
      <c r="H31" s="1"/>
      <c r="I31" s="1"/>
      <c r="J31" s="1"/>
      <c r="K31" s="1"/>
      <c r="L31" s="1"/>
      <c r="M31" s="1"/>
      <c r="N31" s="1"/>
      <c r="O31" s="1"/>
      <c r="P31" s="1"/>
      <c r="Q31" s="1"/>
      <c r="R31" s="1"/>
      <c r="S31" s="1"/>
      <c r="T31" s="1"/>
      <c r="U31" s="1"/>
      <c r="V31" s="1"/>
      <c r="W31" s="1"/>
      <c r="X31" s="1"/>
      <c r="Y31" s="1"/>
      <c r="Z31" s="1"/>
    </row>
    <row r="32" spans="1:26" ht="12.75" customHeight="1" x14ac:dyDescent="0.25">
      <c r="A32" s="1"/>
      <c r="B32" s="26" t="s">
        <v>28</v>
      </c>
      <c r="C32" s="27" t="s">
        <v>28</v>
      </c>
      <c r="D32" s="30">
        <v>567</v>
      </c>
      <c r="E32" s="28">
        <v>60</v>
      </c>
      <c r="F32" s="29">
        <v>6.3843449999999997</v>
      </c>
      <c r="G32" s="29"/>
      <c r="H32" s="1"/>
      <c r="I32" s="1"/>
      <c r="J32" s="1"/>
      <c r="K32" s="1"/>
      <c r="L32" s="1"/>
      <c r="M32" s="1"/>
      <c r="N32" s="1"/>
      <c r="O32" s="1"/>
      <c r="P32" s="1"/>
      <c r="Q32" s="1"/>
      <c r="R32" s="1"/>
      <c r="S32" s="1"/>
      <c r="T32" s="1"/>
      <c r="U32" s="1"/>
      <c r="V32" s="1"/>
      <c r="W32" s="1"/>
      <c r="X32" s="1"/>
      <c r="Y32" s="1"/>
      <c r="Z32" s="1"/>
    </row>
    <row r="33" spans="1:26" ht="12.75" customHeight="1" x14ac:dyDescent="0.25">
      <c r="A33" s="1"/>
      <c r="B33" s="26" t="s">
        <v>29</v>
      </c>
      <c r="C33" s="27" t="s">
        <v>29</v>
      </c>
      <c r="D33" s="28">
        <v>45</v>
      </c>
      <c r="E33" s="28">
        <v>118</v>
      </c>
      <c r="F33" s="29">
        <v>0</v>
      </c>
      <c r="G33" s="29"/>
      <c r="H33" s="1"/>
      <c r="I33" s="1"/>
      <c r="J33" s="1"/>
      <c r="K33" s="1"/>
      <c r="L33" s="1"/>
      <c r="M33" s="1"/>
      <c r="N33" s="1"/>
      <c r="O33" s="1"/>
      <c r="P33" s="1"/>
      <c r="Q33" s="1"/>
      <c r="R33" s="1"/>
      <c r="S33" s="1"/>
      <c r="T33" s="1"/>
      <c r="U33" s="1"/>
      <c r="V33" s="1"/>
      <c r="W33" s="1"/>
      <c r="X33" s="1"/>
      <c r="Y33" s="1"/>
      <c r="Z33" s="1"/>
    </row>
    <row r="34" spans="1:26" ht="12.75" customHeight="1" x14ac:dyDescent="0.25">
      <c r="A34" s="1"/>
      <c r="B34" s="31" t="s">
        <v>30</v>
      </c>
      <c r="C34" s="32" t="s">
        <v>30</v>
      </c>
      <c r="D34" s="33">
        <v>574</v>
      </c>
      <c r="E34" s="33">
        <v>425</v>
      </c>
      <c r="F34" s="34">
        <v>0</v>
      </c>
      <c r="G34" s="34"/>
      <c r="H34" s="1"/>
      <c r="I34" s="1"/>
      <c r="J34" s="1"/>
      <c r="K34" s="1"/>
      <c r="L34" s="1"/>
      <c r="M34" s="1"/>
      <c r="N34" s="1"/>
      <c r="O34" s="1"/>
      <c r="P34" s="1"/>
      <c r="Q34" s="1"/>
      <c r="R34" s="1"/>
      <c r="S34" s="1"/>
      <c r="T34" s="1"/>
      <c r="U34" s="1"/>
      <c r="V34" s="1"/>
      <c r="W34" s="1"/>
      <c r="X34" s="1"/>
      <c r="Y34" s="1"/>
      <c r="Z34" s="1"/>
    </row>
    <row r="35" spans="1:26" ht="12.75" customHeight="1" x14ac:dyDescent="0.25">
      <c r="A35" s="1"/>
      <c r="B35" s="31" t="s">
        <v>31</v>
      </c>
      <c r="C35" s="32" t="s">
        <v>31</v>
      </c>
      <c r="D35" s="33">
        <v>1625</v>
      </c>
      <c r="E35" s="33">
        <v>10</v>
      </c>
      <c r="F35" s="34">
        <v>1.966329</v>
      </c>
      <c r="G35" s="34"/>
      <c r="H35" s="1"/>
      <c r="I35" s="1"/>
      <c r="J35" s="1"/>
      <c r="K35" s="1"/>
      <c r="L35" s="1"/>
      <c r="M35" s="1"/>
      <c r="N35" s="1"/>
      <c r="O35" s="1"/>
      <c r="P35" s="1"/>
      <c r="Q35" s="1"/>
      <c r="R35" s="1"/>
      <c r="S35" s="1"/>
      <c r="T35" s="1"/>
      <c r="U35" s="1"/>
      <c r="V35" s="1"/>
      <c r="W35" s="1"/>
      <c r="X35" s="1"/>
      <c r="Y35" s="1"/>
      <c r="Z35" s="1"/>
    </row>
    <row r="36" spans="1:26" ht="12.75" customHeight="1" x14ac:dyDescent="0.25">
      <c r="A36" s="1"/>
      <c r="B36" s="31" t="s">
        <v>32</v>
      </c>
      <c r="C36" s="32" t="s">
        <v>32</v>
      </c>
      <c r="D36" s="33">
        <v>19</v>
      </c>
      <c r="E36" s="33">
        <v>69</v>
      </c>
      <c r="F36" s="34">
        <v>0</v>
      </c>
      <c r="G36" s="34"/>
      <c r="H36" s="1"/>
      <c r="I36" s="1"/>
      <c r="J36" s="1"/>
      <c r="K36" s="1"/>
      <c r="L36" s="1"/>
      <c r="M36" s="1"/>
      <c r="N36" s="1"/>
      <c r="O36" s="1"/>
      <c r="P36" s="1"/>
      <c r="Q36" s="1"/>
      <c r="R36" s="1"/>
      <c r="S36" s="1"/>
      <c r="T36" s="1"/>
      <c r="U36" s="1"/>
      <c r="V36" s="1"/>
      <c r="W36" s="1"/>
      <c r="X36" s="1"/>
      <c r="Y36" s="1"/>
      <c r="Z36" s="1"/>
    </row>
    <row r="37" spans="1:26" ht="12.75" customHeight="1" x14ac:dyDescent="0.25">
      <c r="A37" s="1"/>
      <c r="B37" s="31" t="s">
        <v>33</v>
      </c>
      <c r="C37" s="32" t="s">
        <v>33</v>
      </c>
      <c r="D37" s="33">
        <v>1142</v>
      </c>
      <c r="E37" s="33">
        <v>120</v>
      </c>
      <c r="F37" s="34">
        <v>0.463389</v>
      </c>
      <c r="G37" s="34"/>
      <c r="H37" s="1"/>
      <c r="I37" s="1"/>
      <c r="J37" s="1"/>
      <c r="K37" s="1"/>
      <c r="L37" s="1"/>
      <c r="M37" s="1"/>
      <c r="N37" s="1"/>
      <c r="O37" s="1"/>
      <c r="P37" s="1"/>
      <c r="Q37" s="1"/>
      <c r="R37" s="1"/>
      <c r="S37" s="1"/>
      <c r="T37" s="1"/>
      <c r="U37" s="1"/>
      <c r="V37" s="1"/>
      <c r="W37" s="1"/>
      <c r="X37" s="1"/>
      <c r="Y37" s="1"/>
      <c r="Z37" s="1"/>
    </row>
    <row r="38" spans="1:26" ht="12.75" customHeight="1" x14ac:dyDescent="0.25">
      <c r="A38" s="1"/>
      <c r="B38" s="31" t="s">
        <v>34</v>
      </c>
      <c r="C38" s="32" t="s">
        <v>34</v>
      </c>
      <c r="D38" s="33">
        <v>2338</v>
      </c>
      <c r="E38" s="33">
        <v>210</v>
      </c>
      <c r="F38" s="34">
        <v>9.9597390000000008</v>
      </c>
      <c r="G38" s="34"/>
      <c r="H38" s="1"/>
      <c r="I38" s="1"/>
      <c r="J38" s="1"/>
      <c r="K38" s="1"/>
      <c r="L38" s="1"/>
      <c r="M38" s="1"/>
      <c r="N38" s="1"/>
      <c r="O38" s="1"/>
      <c r="P38" s="1"/>
      <c r="Q38" s="1"/>
      <c r="R38" s="1"/>
      <c r="S38" s="1"/>
      <c r="T38" s="1"/>
      <c r="U38" s="1"/>
      <c r="V38" s="1"/>
      <c r="W38" s="1"/>
      <c r="X38" s="1"/>
      <c r="Y38" s="1"/>
      <c r="Z38" s="1"/>
    </row>
    <row r="39" spans="1:26" ht="12.75" customHeight="1" x14ac:dyDescent="0.25">
      <c r="A39" s="1"/>
      <c r="B39" s="26" t="s">
        <v>35</v>
      </c>
      <c r="C39" s="27" t="s">
        <v>35</v>
      </c>
      <c r="D39" s="28">
        <v>13</v>
      </c>
      <c r="E39" s="28">
        <v>39</v>
      </c>
      <c r="F39" s="29">
        <v>64.690029999999993</v>
      </c>
      <c r="G39" s="29"/>
      <c r="H39" s="1"/>
      <c r="I39" s="1"/>
      <c r="J39" s="1"/>
      <c r="K39" s="1"/>
      <c r="L39" s="1"/>
      <c r="M39" s="1"/>
      <c r="N39" s="1"/>
      <c r="O39" s="1"/>
      <c r="P39" s="1"/>
      <c r="Q39" s="1"/>
      <c r="R39" s="1"/>
      <c r="S39" s="1"/>
      <c r="T39" s="1"/>
      <c r="U39" s="1"/>
      <c r="V39" s="1"/>
      <c r="W39" s="1"/>
      <c r="X39" s="1"/>
      <c r="Y39" s="1"/>
      <c r="Z39" s="1"/>
    </row>
    <row r="40" spans="1:26" ht="12.75" customHeight="1" x14ac:dyDescent="0.25">
      <c r="A40" s="1"/>
      <c r="B40" s="26" t="s">
        <v>36</v>
      </c>
      <c r="C40" s="27" t="s">
        <v>36</v>
      </c>
      <c r="D40" s="28">
        <v>170</v>
      </c>
      <c r="E40" s="28">
        <v>16</v>
      </c>
      <c r="F40" s="29">
        <v>0</v>
      </c>
      <c r="G40" s="29"/>
      <c r="H40" s="1"/>
      <c r="I40" s="1"/>
      <c r="J40" s="1"/>
      <c r="K40" s="1"/>
      <c r="L40" s="1"/>
      <c r="M40" s="1"/>
      <c r="N40" s="1"/>
      <c r="O40" s="1"/>
      <c r="P40" s="1"/>
      <c r="Q40" s="1"/>
      <c r="R40" s="1"/>
      <c r="S40" s="1"/>
      <c r="T40" s="1"/>
      <c r="U40" s="1"/>
      <c r="V40" s="1"/>
      <c r="W40" s="1"/>
      <c r="X40" s="1"/>
      <c r="Y40" s="1"/>
      <c r="Z40" s="1"/>
    </row>
    <row r="41" spans="1:26" ht="12.75" customHeight="1" x14ac:dyDescent="0.25">
      <c r="A41" s="1"/>
      <c r="B41" s="26" t="s">
        <v>37</v>
      </c>
      <c r="C41" s="27" t="s">
        <v>37</v>
      </c>
      <c r="D41" s="28">
        <v>6</v>
      </c>
      <c r="E41" s="28">
        <v>88</v>
      </c>
      <c r="F41" s="29">
        <v>0</v>
      </c>
      <c r="G41" s="29"/>
      <c r="H41" s="1"/>
      <c r="I41" s="1"/>
      <c r="J41" s="1"/>
      <c r="K41" s="1"/>
      <c r="L41" s="1"/>
      <c r="M41" s="1"/>
      <c r="N41" s="1"/>
      <c r="O41" s="1"/>
      <c r="P41" s="1"/>
      <c r="Q41" s="1"/>
      <c r="R41" s="1"/>
      <c r="S41" s="1"/>
      <c r="T41" s="1"/>
      <c r="U41" s="1"/>
      <c r="V41" s="1"/>
      <c r="W41" s="1"/>
      <c r="X41" s="1"/>
      <c r="Y41" s="1"/>
      <c r="Z41" s="1"/>
    </row>
    <row r="42" spans="1:26" ht="12.75" customHeight="1" x14ac:dyDescent="0.25">
      <c r="A42" s="1"/>
      <c r="B42" s="26" t="s">
        <v>38</v>
      </c>
      <c r="C42" s="27" t="s">
        <v>38</v>
      </c>
      <c r="D42" s="30">
        <v>63</v>
      </c>
      <c r="E42" s="28">
        <v>83</v>
      </c>
      <c r="F42" s="29">
        <v>100</v>
      </c>
      <c r="G42" s="29"/>
      <c r="H42" s="1"/>
      <c r="I42" s="1"/>
      <c r="J42" s="1"/>
      <c r="K42" s="1"/>
      <c r="L42" s="1"/>
      <c r="M42" s="1"/>
      <c r="N42" s="1"/>
      <c r="O42" s="1"/>
      <c r="P42" s="1"/>
      <c r="Q42" s="1"/>
      <c r="R42" s="1"/>
      <c r="S42" s="1"/>
      <c r="T42" s="1"/>
      <c r="U42" s="1"/>
      <c r="V42" s="1"/>
      <c r="W42" s="1"/>
      <c r="X42" s="1"/>
      <c r="Y42" s="1"/>
      <c r="Z42" s="1"/>
    </row>
    <row r="43" spans="1:26" ht="12.75" customHeight="1" x14ac:dyDescent="0.25">
      <c r="A43" s="1"/>
      <c r="B43" s="26" t="s">
        <v>39</v>
      </c>
      <c r="C43" s="27" t="s">
        <v>39</v>
      </c>
      <c r="D43" s="28">
        <v>336</v>
      </c>
      <c r="E43" s="28">
        <v>32</v>
      </c>
      <c r="F43" s="29">
        <v>31.477119999999999</v>
      </c>
      <c r="G43" s="29"/>
      <c r="H43" s="1"/>
      <c r="I43" s="1"/>
      <c r="J43" s="1"/>
      <c r="K43" s="1"/>
      <c r="L43" s="1"/>
      <c r="M43" s="1"/>
      <c r="N43" s="1"/>
      <c r="O43" s="1"/>
      <c r="P43" s="1"/>
      <c r="Q43" s="1"/>
      <c r="R43" s="1"/>
      <c r="S43" s="1"/>
      <c r="T43" s="1"/>
      <c r="U43" s="1"/>
      <c r="V43" s="1"/>
      <c r="W43" s="1"/>
      <c r="X43" s="1"/>
      <c r="Y43" s="1"/>
      <c r="Z43" s="1"/>
    </row>
    <row r="44" spans="1:26" ht="12.75" customHeight="1" x14ac:dyDescent="0.25">
      <c r="A44" s="1"/>
      <c r="B44" s="31" t="s">
        <v>40</v>
      </c>
      <c r="C44" s="32" t="s">
        <v>40</v>
      </c>
      <c r="D44" s="33">
        <v>5</v>
      </c>
      <c r="E44" s="33">
        <v>213</v>
      </c>
      <c r="F44" s="34">
        <v>0</v>
      </c>
      <c r="G44" s="34"/>
      <c r="H44" s="1"/>
      <c r="I44" s="1"/>
      <c r="J44" s="1"/>
      <c r="K44" s="1"/>
      <c r="L44" s="1"/>
      <c r="M44" s="1"/>
      <c r="N44" s="1"/>
      <c r="O44" s="1"/>
      <c r="P44" s="1"/>
      <c r="Q44" s="1"/>
      <c r="R44" s="1"/>
      <c r="S44" s="1"/>
      <c r="T44" s="1"/>
      <c r="U44" s="1"/>
      <c r="V44" s="1"/>
      <c r="W44" s="1"/>
      <c r="X44" s="1"/>
      <c r="Y44" s="1"/>
      <c r="Z44" s="1"/>
    </row>
    <row r="45" spans="1:26" ht="12.75" customHeight="1" x14ac:dyDescent="0.25">
      <c r="A45" s="1"/>
      <c r="B45" s="31" t="s">
        <v>41</v>
      </c>
      <c r="C45" s="32" t="s">
        <v>41</v>
      </c>
      <c r="D45" s="33">
        <v>266</v>
      </c>
      <c r="E45" s="33">
        <v>70</v>
      </c>
      <c r="F45" s="34">
        <v>41.464669999999998</v>
      </c>
      <c r="G45" s="34"/>
      <c r="H45" s="1"/>
      <c r="I45" s="1"/>
      <c r="J45" s="1"/>
      <c r="K45" s="1"/>
      <c r="L45" s="1"/>
      <c r="M45" s="1"/>
      <c r="N45" s="1"/>
      <c r="O45" s="1"/>
      <c r="P45" s="1"/>
      <c r="Q45" s="1"/>
      <c r="R45" s="1"/>
      <c r="S45" s="1"/>
      <c r="T45" s="1"/>
      <c r="U45" s="1"/>
      <c r="V45" s="1"/>
      <c r="W45" s="1"/>
      <c r="X45" s="1"/>
      <c r="Y45" s="1"/>
      <c r="Z45" s="1"/>
    </row>
    <row r="46" spans="1:26" ht="12.75" customHeight="1" x14ac:dyDescent="0.25">
      <c r="A46" s="1"/>
      <c r="B46" s="31" t="s">
        <v>42</v>
      </c>
      <c r="C46" s="32" t="s">
        <v>42</v>
      </c>
      <c r="D46" s="33">
        <v>86</v>
      </c>
      <c r="E46" s="33">
        <v>39</v>
      </c>
      <c r="F46" s="34">
        <v>0.131406</v>
      </c>
      <c r="G46" s="34"/>
      <c r="H46" s="1"/>
      <c r="I46" s="1"/>
      <c r="J46" s="1"/>
      <c r="K46" s="1"/>
      <c r="L46" s="1"/>
      <c r="M46" s="1"/>
      <c r="N46" s="1"/>
      <c r="O46" s="1"/>
      <c r="P46" s="1"/>
      <c r="Q46" s="1"/>
      <c r="R46" s="1"/>
      <c r="S46" s="1"/>
      <c r="T46" s="1"/>
      <c r="U46" s="1"/>
      <c r="V46" s="1"/>
      <c r="W46" s="1"/>
      <c r="X46" s="1"/>
      <c r="Y46" s="1"/>
      <c r="Z46" s="1"/>
    </row>
    <row r="47" spans="1:26" ht="12.75" customHeight="1" x14ac:dyDescent="0.25">
      <c r="A47" s="1"/>
      <c r="B47" s="31" t="s">
        <v>43</v>
      </c>
      <c r="C47" s="32" t="s">
        <v>43</v>
      </c>
      <c r="D47" s="33">
        <v>12149</v>
      </c>
      <c r="E47" s="33">
        <v>59</v>
      </c>
      <c r="F47" s="34">
        <v>69.648030000000006</v>
      </c>
      <c r="G47" s="34"/>
      <c r="H47" s="1"/>
      <c r="I47" s="1"/>
      <c r="J47" s="1"/>
      <c r="K47" s="1"/>
      <c r="L47" s="1"/>
      <c r="M47" s="1"/>
      <c r="N47" s="1"/>
      <c r="O47" s="1"/>
      <c r="P47" s="1"/>
      <c r="Q47" s="1"/>
      <c r="R47" s="1"/>
      <c r="S47" s="1"/>
      <c r="T47" s="1"/>
      <c r="U47" s="1"/>
      <c r="V47" s="1"/>
      <c r="W47" s="1"/>
      <c r="X47" s="1"/>
      <c r="Y47" s="1"/>
      <c r="Z47" s="1"/>
    </row>
    <row r="48" spans="1:26" ht="12.75" customHeight="1" x14ac:dyDescent="0.25">
      <c r="A48" s="1"/>
      <c r="B48" s="31" t="s">
        <v>44</v>
      </c>
      <c r="C48" s="32" t="s">
        <v>44</v>
      </c>
      <c r="D48" s="33">
        <v>2</v>
      </c>
      <c r="E48" s="33">
        <v>85</v>
      </c>
      <c r="F48" s="34">
        <v>0</v>
      </c>
      <c r="G48" s="34"/>
      <c r="H48" s="1"/>
      <c r="I48" s="1"/>
      <c r="J48" s="1"/>
      <c r="K48" s="1"/>
      <c r="L48" s="1"/>
      <c r="M48" s="1"/>
      <c r="N48" s="1"/>
      <c r="O48" s="1"/>
      <c r="P48" s="1"/>
      <c r="Q48" s="1"/>
      <c r="R48" s="1"/>
      <c r="S48" s="1"/>
      <c r="T48" s="1"/>
      <c r="U48" s="1"/>
      <c r="V48" s="1"/>
      <c r="W48" s="1"/>
      <c r="X48" s="1"/>
      <c r="Y48" s="1"/>
      <c r="Z48" s="1"/>
    </row>
    <row r="49" spans="1:26" ht="12.75" customHeight="1" x14ac:dyDescent="0.25">
      <c r="A49" s="1"/>
      <c r="B49" s="26" t="s">
        <v>45</v>
      </c>
      <c r="C49" s="27" t="s">
        <v>45</v>
      </c>
      <c r="D49" s="28">
        <v>127</v>
      </c>
      <c r="E49" s="28">
        <v>310</v>
      </c>
      <c r="F49" s="29">
        <v>4.5434000000000002E-2</v>
      </c>
      <c r="G49" s="29"/>
      <c r="H49" s="1"/>
      <c r="I49" s="1"/>
      <c r="J49" s="1"/>
      <c r="K49" s="1"/>
      <c r="L49" s="1"/>
      <c r="M49" s="1"/>
      <c r="N49" s="1"/>
      <c r="O49" s="1"/>
      <c r="P49" s="1"/>
      <c r="Q49" s="1"/>
      <c r="R49" s="1"/>
      <c r="S49" s="1"/>
      <c r="T49" s="1"/>
      <c r="U49" s="1"/>
      <c r="V49" s="1"/>
      <c r="W49" s="1"/>
      <c r="X49" s="1"/>
      <c r="Y49" s="1"/>
      <c r="Z49" s="1"/>
    </row>
    <row r="50" spans="1:26" ht="12.75" customHeight="1" x14ac:dyDescent="0.25">
      <c r="A50" s="1"/>
      <c r="B50" s="26" t="s">
        <v>46</v>
      </c>
      <c r="C50" s="27" t="s">
        <v>46</v>
      </c>
      <c r="D50" s="28">
        <v>703</v>
      </c>
      <c r="E50" s="28">
        <v>97</v>
      </c>
      <c r="F50" s="29">
        <v>17.23461</v>
      </c>
      <c r="G50" s="29"/>
      <c r="H50" s="1"/>
      <c r="I50" s="1"/>
      <c r="J50" s="1"/>
      <c r="K50" s="1"/>
      <c r="L50" s="1"/>
      <c r="M50" s="1"/>
      <c r="N50" s="1"/>
      <c r="O50" s="1"/>
      <c r="P50" s="1"/>
      <c r="Q50" s="1"/>
      <c r="R50" s="1"/>
      <c r="S50" s="1"/>
      <c r="T50" s="1"/>
      <c r="U50" s="1"/>
      <c r="V50" s="1"/>
      <c r="W50" s="1"/>
      <c r="X50" s="1"/>
      <c r="Y50" s="1"/>
      <c r="Z50" s="1"/>
    </row>
    <row r="51" spans="1:26" ht="12.75" customHeight="1" x14ac:dyDescent="0.25">
      <c r="A51" s="1"/>
      <c r="B51" s="26" t="s">
        <v>47</v>
      </c>
      <c r="C51" s="27" t="s">
        <v>47</v>
      </c>
      <c r="D51" s="28">
        <v>164</v>
      </c>
      <c r="E51" s="28">
        <v>10</v>
      </c>
      <c r="F51" s="29">
        <v>14.500679999999999</v>
      </c>
      <c r="G51" s="29"/>
      <c r="H51" s="1"/>
      <c r="I51" s="1"/>
      <c r="J51" s="1"/>
      <c r="K51" s="1"/>
      <c r="L51" s="1"/>
      <c r="M51" s="1"/>
      <c r="N51" s="1"/>
      <c r="O51" s="1"/>
      <c r="P51" s="1"/>
      <c r="Q51" s="1"/>
      <c r="R51" s="1"/>
      <c r="S51" s="1"/>
      <c r="T51" s="1"/>
      <c r="U51" s="1"/>
      <c r="V51" s="1"/>
      <c r="W51" s="1"/>
      <c r="X51" s="1"/>
      <c r="Y51" s="1"/>
      <c r="Z51" s="1"/>
    </row>
    <row r="52" spans="1:26" ht="12.75" customHeight="1" x14ac:dyDescent="0.25">
      <c r="A52" s="1"/>
      <c r="B52" s="26" t="s">
        <v>48</v>
      </c>
      <c r="C52" s="27" t="s">
        <v>48</v>
      </c>
      <c r="D52" s="30">
        <v>58</v>
      </c>
      <c r="E52" s="28">
        <v>6</v>
      </c>
      <c r="F52" s="29">
        <v>86.792450000000002</v>
      </c>
      <c r="G52" s="29"/>
      <c r="H52" s="1"/>
      <c r="I52" s="1"/>
      <c r="J52" s="1"/>
      <c r="K52" s="1"/>
      <c r="L52" s="1"/>
      <c r="M52" s="1"/>
      <c r="N52" s="1"/>
      <c r="O52" s="1"/>
      <c r="P52" s="1"/>
      <c r="Q52" s="1"/>
      <c r="R52" s="1"/>
      <c r="S52" s="1"/>
      <c r="T52" s="1"/>
      <c r="U52" s="1"/>
      <c r="V52" s="1"/>
      <c r="W52" s="1"/>
      <c r="X52" s="1"/>
      <c r="Y52" s="1"/>
      <c r="Z52" s="1"/>
    </row>
    <row r="53" spans="1:26" ht="12.75" customHeight="1" x14ac:dyDescent="0.25">
      <c r="A53" s="1"/>
      <c r="B53" s="26" t="s">
        <v>49</v>
      </c>
      <c r="C53" s="27" t="s">
        <v>49</v>
      </c>
      <c r="D53" s="28">
        <v>7</v>
      </c>
      <c r="E53" s="28">
        <v>15</v>
      </c>
      <c r="F53" s="29">
        <v>21.227620000000002</v>
      </c>
      <c r="G53" s="29"/>
      <c r="H53" s="1"/>
      <c r="I53" s="1"/>
      <c r="J53" s="1"/>
      <c r="K53" s="1"/>
      <c r="L53" s="1"/>
      <c r="M53" s="1"/>
      <c r="N53" s="1"/>
      <c r="O53" s="1"/>
      <c r="P53" s="1"/>
      <c r="Q53" s="1"/>
      <c r="R53" s="1"/>
      <c r="S53" s="1"/>
      <c r="T53" s="1"/>
      <c r="U53" s="1"/>
      <c r="V53" s="1"/>
      <c r="W53" s="1"/>
      <c r="X53" s="1"/>
      <c r="Y53" s="1"/>
      <c r="Z53" s="1"/>
    </row>
    <row r="54" spans="1:26" ht="12.75" customHeight="1" x14ac:dyDescent="0.25">
      <c r="A54" s="1"/>
      <c r="B54" s="31" t="s">
        <v>50</v>
      </c>
      <c r="C54" s="32" t="s">
        <v>50</v>
      </c>
      <c r="D54" s="33">
        <v>250</v>
      </c>
      <c r="E54" s="33">
        <v>17</v>
      </c>
      <c r="F54" s="34">
        <v>57.311590000000002</v>
      </c>
      <c r="G54" s="34"/>
      <c r="H54" s="1"/>
      <c r="I54" s="1"/>
      <c r="J54" s="1"/>
      <c r="K54" s="1"/>
      <c r="L54" s="1"/>
      <c r="M54" s="1"/>
      <c r="N54" s="1"/>
      <c r="O54" s="1"/>
      <c r="P54" s="1"/>
      <c r="Q54" s="1"/>
      <c r="R54" s="1"/>
      <c r="S54" s="1"/>
      <c r="T54" s="1"/>
      <c r="U54" s="1"/>
      <c r="V54" s="1"/>
      <c r="W54" s="1"/>
      <c r="X54" s="1"/>
      <c r="Y54" s="1"/>
      <c r="Z54" s="1"/>
    </row>
    <row r="55" spans="1:26" ht="12.75" customHeight="1" x14ac:dyDescent="0.25">
      <c r="A55" s="1"/>
      <c r="B55" s="31" t="s">
        <v>51</v>
      </c>
      <c r="C55" s="32" t="s">
        <v>51</v>
      </c>
      <c r="D55" s="33">
        <v>307</v>
      </c>
      <c r="E55" s="33">
        <v>14</v>
      </c>
      <c r="F55" s="34">
        <v>70.886259999999993</v>
      </c>
      <c r="G55" s="34"/>
      <c r="H55" s="1"/>
      <c r="I55" s="1"/>
      <c r="J55" s="1"/>
      <c r="K55" s="1"/>
      <c r="L55" s="1"/>
      <c r="M55" s="1"/>
      <c r="N55" s="1"/>
      <c r="O55" s="1"/>
      <c r="P55" s="1"/>
      <c r="Q55" s="1"/>
      <c r="R55" s="1"/>
      <c r="S55" s="1"/>
      <c r="T55" s="1"/>
      <c r="U55" s="1"/>
      <c r="V55" s="1"/>
      <c r="W55" s="1"/>
      <c r="X55" s="1"/>
      <c r="Y55" s="1"/>
      <c r="Z55" s="1"/>
    </row>
    <row r="56" spans="1:26" ht="12.75" customHeight="1" x14ac:dyDescent="0.25">
      <c r="A56" s="1"/>
      <c r="B56" s="31" t="s">
        <v>52</v>
      </c>
      <c r="C56" s="32" t="s">
        <v>52</v>
      </c>
      <c r="D56" s="33">
        <v>10431</v>
      </c>
      <c r="E56" s="33">
        <v>296</v>
      </c>
      <c r="F56" s="34">
        <v>61.945430000000002</v>
      </c>
      <c r="G56" s="34"/>
      <c r="H56" s="1"/>
      <c r="I56" s="1"/>
      <c r="J56" s="1"/>
      <c r="K56" s="1"/>
      <c r="L56" s="1"/>
      <c r="M56" s="1"/>
      <c r="N56" s="1"/>
      <c r="O56" s="1"/>
      <c r="P56" s="1"/>
      <c r="Q56" s="1"/>
      <c r="R56" s="1"/>
      <c r="S56" s="1"/>
      <c r="T56" s="1"/>
      <c r="U56" s="1"/>
      <c r="V56" s="1"/>
      <c r="W56" s="1"/>
      <c r="X56" s="1"/>
      <c r="Y56" s="1"/>
      <c r="Z56" s="1"/>
    </row>
    <row r="57" spans="1:26" ht="12.75" customHeight="1" x14ac:dyDescent="0.25">
      <c r="A57" s="1"/>
      <c r="B57" s="31" t="s">
        <v>53</v>
      </c>
      <c r="C57" s="32" t="s">
        <v>53</v>
      </c>
      <c r="D57" s="33">
        <v>8</v>
      </c>
      <c r="E57" s="33">
        <v>131</v>
      </c>
      <c r="F57" s="34">
        <v>0</v>
      </c>
      <c r="G57" s="34"/>
      <c r="H57" s="1"/>
      <c r="I57" s="1"/>
      <c r="J57" s="1"/>
      <c r="K57" s="1"/>
      <c r="L57" s="1"/>
      <c r="M57" s="1"/>
      <c r="N57" s="1"/>
      <c r="O57" s="1"/>
      <c r="P57" s="1"/>
      <c r="Q57" s="1"/>
      <c r="R57" s="1"/>
      <c r="S57" s="1"/>
      <c r="T57" s="1"/>
      <c r="U57" s="1"/>
      <c r="V57" s="1"/>
      <c r="W57" s="1"/>
      <c r="X57" s="1"/>
      <c r="Y57" s="1"/>
      <c r="Z57" s="1"/>
    </row>
    <row r="58" spans="1:26" ht="12.75" customHeight="1" x14ac:dyDescent="0.25">
      <c r="A58" s="1"/>
      <c r="B58" s="31" t="s">
        <v>54</v>
      </c>
      <c r="C58" s="32" t="s">
        <v>54</v>
      </c>
      <c r="D58" s="33">
        <v>23</v>
      </c>
      <c r="E58" s="33">
        <v>5</v>
      </c>
      <c r="F58" s="34">
        <v>85.635360000000006</v>
      </c>
      <c r="G58" s="34"/>
      <c r="H58" s="1"/>
      <c r="I58" s="1"/>
      <c r="J58" s="1"/>
      <c r="K58" s="1"/>
      <c r="L58" s="1"/>
      <c r="M58" s="1"/>
      <c r="N58" s="1"/>
      <c r="O58" s="1"/>
      <c r="P58" s="1"/>
      <c r="Q58" s="1"/>
      <c r="R58" s="1"/>
      <c r="S58" s="1"/>
      <c r="T58" s="1"/>
      <c r="U58" s="1"/>
      <c r="V58" s="1"/>
      <c r="W58" s="1"/>
      <c r="X58" s="1"/>
      <c r="Y58" s="1"/>
      <c r="Z58" s="1"/>
    </row>
    <row r="59" spans="1:26" ht="12.75" customHeight="1" x14ac:dyDescent="0.25">
      <c r="A59" s="1"/>
      <c r="B59" s="26" t="s">
        <v>55</v>
      </c>
      <c r="C59" s="27" t="s">
        <v>55</v>
      </c>
      <c r="D59" s="28">
        <v>77</v>
      </c>
      <c r="E59" s="28">
        <v>6</v>
      </c>
      <c r="F59" s="29">
        <v>0</v>
      </c>
      <c r="G59" s="29"/>
      <c r="H59" s="1"/>
      <c r="I59" s="1"/>
      <c r="J59" s="1"/>
      <c r="K59" s="1"/>
      <c r="L59" s="1"/>
      <c r="M59" s="1"/>
      <c r="N59" s="1"/>
      <c r="O59" s="1"/>
      <c r="P59" s="1"/>
      <c r="Q59" s="1"/>
      <c r="R59" s="1"/>
      <c r="S59" s="1"/>
      <c r="T59" s="1"/>
      <c r="U59" s="1"/>
      <c r="V59" s="1"/>
      <c r="W59" s="1"/>
      <c r="X59" s="1"/>
      <c r="Y59" s="1"/>
      <c r="Z59" s="1"/>
    </row>
    <row r="60" spans="1:26" ht="12.75" customHeight="1" x14ac:dyDescent="0.25">
      <c r="A60" s="1"/>
      <c r="B60" s="26" t="s">
        <v>56</v>
      </c>
      <c r="C60" s="27" t="s">
        <v>56</v>
      </c>
      <c r="D60" s="28">
        <v>1613</v>
      </c>
      <c r="E60" s="28">
        <v>92</v>
      </c>
      <c r="F60" s="29">
        <v>28.00657</v>
      </c>
      <c r="G60" s="29"/>
      <c r="H60" s="1"/>
      <c r="I60" s="1"/>
      <c r="J60" s="1"/>
      <c r="K60" s="1"/>
      <c r="L60" s="1"/>
      <c r="M60" s="1"/>
      <c r="N60" s="1"/>
      <c r="O60" s="1"/>
      <c r="P60" s="1"/>
      <c r="Q60" s="1"/>
      <c r="R60" s="1"/>
      <c r="S60" s="1"/>
      <c r="T60" s="1"/>
      <c r="U60" s="1"/>
      <c r="V60" s="1"/>
      <c r="W60" s="1"/>
      <c r="X60" s="1"/>
      <c r="Y60" s="1"/>
      <c r="Z60" s="1"/>
    </row>
    <row r="61" spans="1:26" ht="12.75" customHeight="1" x14ac:dyDescent="0.25">
      <c r="A61" s="1"/>
      <c r="B61" s="26" t="s">
        <v>57</v>
      </c>
      <c r="C61" s="27" t="s">
        <v>58</v>
      </c>
      <c r="D61" s="28">
        <v>127191</v>
      </c>
      <c r="E61" s="28">
        <v>93</v>
      </c>
      <c r="F61" s="29">
        <v>19.754909999999999</v>
      </c>
      <c r="G61" s="29"/>
      <c r="H61" s="1"/>
      <c r="I61" s="1"/>
      <c r="J61" s="1"/>
      <c r="K61" s="1"/>
      <c r="L61" s="1"/>
      <c r="M61" s="1"/>
      <c r="N61" s="1"/>
      <c r="O61" s="1"/>
      <c r="P61" s="1"/>
      <c r="Q61" s="1"/>
      <c r="R61" s="1"/>
      <c r="S61" s="1"/>
      <c r="T61" s="1"/>
      <c r="U61" s="1"/>
      <c r="V61" s="1"/>
      <c r="W61" s="1"/>
      <c r="X61" s="1"/>
      <c r="Y61" s="1"/>
      <c r="Z61" s="1"/>
    </row>
    <row r="62" spans="1:26" ht="24.75" customHeight="1" x14ac:dyDescent="0.25">
      <c r="A62" s="1"/>
      <c r="B62" s="26" t="s">
        <v>59</v>
      </c>
      <c r="C62" s="27" t="s">
        <v>60</v>
      </c>
      <c r="D62" s="30">
        <v>585</v>
      </c>
      <c r="E62" s="28">
        <v>82</v>
      </c>
      <c r="F62" s="29">
        <v>0</v>
      </c>
      <c r="G62" s="29"/>
      <c r="H62" s="1"/>
      <c r="I62" s="1"/>
      <c r="J62" s="1"/>
      <c r="K62" s="1"/>
      <c r="L62" s="1"/>
      <c r="M62" s="1"/>
      <c r="N62" s="1"/>
      <c r="O62" s="1"/>
      <c r="P62" s="1"/>
      <c r="Q62" s="1"/>
      <c r="R62" s="1"/>
      <c r="S62" s="1"/>
      <c r="T62" s="1"/>
      <c r="U62" s="1"/>
      <c r="V62" s="1"/>
      <c r="W62" s="1"/>
      <c r="X62" s="1"/>
      <c r="Y62" s="1"/>
      <c r="Z62" s="1"/>
    </row>
    <row r="63" spans="1:26" ht="23.25" customHeight="1" x14ac:dyDescent="0.25">
      <c r="A63" s="1"/>
      <c r="B63" s="26" t="s">
        <v>61</v>
      </c>
      <c r="C63" s="27" t="s">
        <v>62</v>
      </c>
      <c r="D63" s="28">
        <v>47</v>
      </c>
      <c r="E63" s="28">
        <v>83</v>
      </c>
      <c r="F63" s="29">
        <v>0</v>
      </c>
      <c r="G63" s="29"/>
      <c r="H63" s="1"/>
      <c r="I63" s="1"/>
      <c r="J63" s="1"/>
      <c r="K63" s="1"/>
      <c r="L63" s="1"/>
      <c r="M63" s="1"/>
      <c r="N63" s="1"/>
      <c r="O63" s="1"/>
      <c r="P63" s="1"/>
      <c r="Q63" s="1"/>
      <c r="R63" s="1"/>
      <c r="S63" s="1"/>
      <c r="T63" s="1"/>
      <c r="U63" s="1"/>
      <c r="V63" s="1"/>
      <c r="W63" s="1"/>
      <c r="X63" s="1"/>
      <c r="Y63" s="1"/>
      <c r="Z63" s="1"/>
    </row>
    <row r="64" spans="1:26" ht="12.75" customHeight="1" x14ac:dyDescent="0.25">
      <c r="A64" s="1"/>
      <c r="B64" s="31" t="s">
        <v>63</v>
      </c>
      <c r="C64" s="32" t="s">
        <v>63</v>
      </c>
      <c r="D64" s="33">
        <v>1513</v>
      </c>
      <c r="E64" s="35">
        <v>32</v>
      </c>
      <c r="F64" s="34">
        <v>63.002839999999999</v>
      </c>
      <c r="G64" s="34"/>
      <c r="H64" s="1"/>
      <c r="I64" s="1"/>
      <c r="J64" s="1"/>
      <c r="K64" s="1"/>
      <c r="L64" s="1"/>
      <c r="M64" s="1"/>
      <c r="N64" s="1"/>
      <c r="O64" s="1"/>
      <c r="P64" s="1"/>
      <c r="Q64" s="1"/>
      <c r="R64" s="1"/>
      <c r="S64" s="1"/>
      <c r="T64" s="1"/>
      <c r="U64" s="1"/>
      <c r="V64" s="1"/>
      <c r="W64" s="1"/>
      <c r="X64" s="1"/>
      <c r="Y64" s="1"/>
      <c r="Z64" s="1"/>
    </row>
    <row r="65" spans="1:26" ht="12.75" customHeight="1" x14ac:dyDescent="0.25">
      <c r="A65" s="1"/>
      <c r="B65" s="31" t="s">
        <v>64</v>
      </c>
      <c r="C65" s="32" t="s">
        <v>64</v>
      </c>
      <c r="D65" s="33">
        <v>5</v>
      </c>
      <c r="E65" s="33">
        <v>7</v>
      </c>
      <c r="F65" s="34">
        <v>11.62791</v>
      </c>
      <c r="G65" s="34"/>
      <c r="H65" s="1"/>
      <c r="I65" s="1"/>
      <c r="J65" s="1"/>
      <c r="K65" s="1"/>
      <c r="L65" s="1"/>
      <c r="M65" s="1"/>
      <c r="N65" s="1"/>
      <c r="O65" s="1"/>
      <c r="P65" s="1"/>
      <c r="Q65" s="1"/>
      <c r="R65" s="1"/>
      <c r="S65" s="1"/>
      <c r="T65" s="1"/>
      <c r="U65" s="1"/>
      <c r="V65" s="1"/>
      <c r="W65" s="1"/>
      <c r="X65" s="1"/>
      <c r="Y65" s="1"/>
      <c r="Z65" s="1"/>
    </row>
    <row r="66" spans="1:26" ht="12.75" customHeight="1" x14ac:dyDescent="0.25">
      <c r="A66" s="1"/>
      <c r="B66" s="31" t="s">
        <v>65</v>
      </c>
      <c r="C66" s="32" t="s">
        <v>65</v>
      </c>
      <c r="D66" s="33">
        <v>102</v>
      </c>
      <c r="E66" s="33">
        <v>23</v>
      </c>
      <c r="F66" s="34">
        <v>57.748869999999997</v>
      </c>
      <c r="G66" s="34"/>
      <c r="H66" s="1"/>
      <c r="I66" s="1"/>
      <c r="J66" s="1"/>
      <c r="K66" s="1"/>
      <c r="L66" s="1"/>
      <c r="M66" s="1"/>
      <c r="N66" s="1"/>
      <c r="O66" s="1"/>
      <c r="P66" s="1"/>
      <c r="Q66" s="1"/>
      <c r="R66" s="1"/>
      <c r="S66" s="1"/>
      <c r="T66" s="1"/>
      <c r="U66" s="1"/>
      <c r="V66" s="1"/>
      <c r="W66" s="1"/>
      <c r="X66" s="1"/>
      <c r="Y66" s="1"/>
      <c r="Z66" s="1"/>
    </row>
    <row r="67" spans="1:26" ht="12.75" customHeight="1" x14ac:dyDescent="0.25">
      <c r="A67" s="1"/>
      <c r="B67" s="31" t="s">
        <v>66</v>
      </c>
      <c r="C67" s="32" t="s">
        <v>66</v>
      </c>
      <c r="D67" s="33">
        <v>1</v>
      </c>
      <c r="E67" s="33">
        <v>48</v>
      </c>
      <c r="F67" s="34">
        <v>0</v>
      </c>
      <c r="G67" s="34"/>
      <c r="H67" s="1"/>
      <c r="I67" s="1"/>
      <c r="J67" s="1"/>
      <c r="K67" s="1"/>
      <c r="L67" s="1"/>
      <c r="M67" s="1"/>
      <c r="N67" s="1"/>
      <c r="O67" s="1"/>
      <c r="P67" s="1"/>
      <c r="Q67" s="1"/>
      <c r="R67" s="1"/>
      <c r="S67" s="1"/>
      <c r="T67" s="1"/>
      <c r="U67" s="1"/>
      <c r="V67" s="1"/>
      <c r="W67" s="1"/>
      <c r="X67" s="1"/>
      <c r="Y67" s="1"/>
      <c r="Z67" s="1"/>
    </row>
    <row r="68" spans="1:26" ht="12.75" customHeight="1" x14ac:dyDescent="0.25">
      <c r="A68" s="1"/>
      <c r="B68" s="31" t="s">
        <v>67</v>
      </c>
      <c r="C68" s="32" t="s">
        <v>67</v>
      </c>
      <c r="D68" s="33">
        <v>222</v>
      </c>
      <c r="E68" s="33">
        <v>47</v>
      </c>
      <c r="F68" s="34">
        <v>88.736419999999995</v>
      </c>
      <c r="G68" s="34"/>
      <c r="H68" s="1"/>
      <c r="I68" s="1"/>
      <c r="J68" s="1"/>
      <c r="K68" s="1"/>
      <c r="L68" s="1"/>
      <c r="M68" s="1"/>
      <c r="N68" s="1"/>
      <c r="O68" s="1"/>
      <c r="P68" s="1"/>
      <c r="Q68" s="1"/>
      <c r="R68" s="1"/>
      <c r="S68" s="1"/>
      <c r="T68" s="1"/>
      <c r="U68" s="1"/>
      <c r="V68" s="1"/>
      <c r="W68" s="1"/>
      <c r="X68" s="1"/>
      <c r="Y68" s="1"/>
      <c r="Z68" s="1"/>
    </row>
    <row r="69" spans="1:26" ht="12.75" customHeight="1" x14ac:dyDescent="0.25">
      <c r="A69" s="1"/>
      <c r="B69" s="26" t="s">
        <v>68</v>
      </c>
      <c r="C69" s="27" t="s">
        <v>68</v>
      </c>
      <c r="D69" s="28">
        <v>547</v>
      </c>
      <c r="E69" s="28">
        <v>25</v>
      </c>
      <c r="F69" s="29">
        <v>22.822780000000002</v>
      </c>
      <c r="G69" s="29"/>
      <c r="H69" s="1"/>
      <c r="I69" s="1"/>
      <c r="J69" s="1"/>
      <c r="K69" s="1"/>
      <c r="L69" s="1"/>
      <c r="M69" s="1"/>
      <c r="N69" s="1"/>
      <c r="O69" s="1"/>
      <c r="P69" s="1"/>
      <c r="Q69" s="1"/>
      <c r="R69" s="1"/>
      <c r="S69" s="1"/>
      <c r="T69" s="1"/>
      <c r="U69" s="1"/>
      <c r="V69" s="1"/>
      <c r="W69" s="1"/>
      <c r="X69" s="1"/>
      <c r="Y69" s="1"/>
      <c r="Z69" s="1"/>
    </row>
    <row r="70" spans="1:26" ht="12.75" customHeight="1" x14ac:dyDescent="0.25">
      <c r="A70" s="1"/>
      <c r="B70" s="26" t="s">
        <v>69</v>
      </c>
      <c r="C70" s="27" t="s">
        <v>69</v>
      </c>
      <c r="D70" s="28">
        <v>321</v>
      </c>
      <c r="E70" s="28">
        <v>75</v>
      </c>
      <c r="F70" s="29">
        <v>64.284120000000001</v>
      </c>
      <c r="G70" s="29"/>
      <c r="H70" s="1"/>
      <c r="I70" s="1"/>
      <c r="J70" s="1"/>
      <c r="K70" s="1"/>
      <c r="L70" s="1"/>
      <c r="M70" s="1"/>
      <c r="N70" s="1"/>
      <c r="O70" s="1"/>
      <c r="P70" s="1"/>
      <c r="Q70" s="1"/>
      <c r="R70" s="1"/>
      <c r="S70" s="1"/>
      <c r="T70" s="1"/>
      <c r="U70" s="1"/>
      <c r="V70" s="1"/>
      <c r="W70" s="1"/>
      <c r="X70" s="1"/>
      <c r="Y70" s="1"/>
      <c r="Z70" s="1"/>
    </row>
    <row r="71" spans="1:26" ht="12.75" customHeight="1" x14ac:dyDescent="0.25">
      <c r="A71" s="1"/>
      <c r="B71" s="26" t="s">
        <v>70</v>
      </c>
      <c r="C71" s="27" t="s">
        <v>70</v>
      </c>
      <c r="D71" s="28">
        <v>585</v>
      </c>
      <c r="E71" s="28">
        <v>51</v>
      </c>
      <c r="F71" s="29">
        <v>0.66353200000000001</v>
      </c>
      <c r="G71" s="29"/>
      <c r="H71" s="1"/>
      <c r="I71" s="1"/>
      <c r="J71" s="1"/>
      <c r="K71" s="1"/>
      <c r="L71" s="1"/>
      <c r="M71" s="1"/>
      <c r="N71" s="1"/>
      <c r="O71" s="1"/>
      <c r="P71" s="1"/>
      <c r="Q71" s="1"/>
      <c r="R71" s="1"/>
      <c r="S71" s="1"/>
      <c r="T71" s="1"/>
      <c r="U71" s="1"/>
      <c r="V71" s="1"/>
      <c r="W71" s="1"/>
      <c r="X71" s="1"/>
      <c r="Y71" s="1"/>
      <c r="Z71" s="1"/>
    </row>
    <row r="72" spans="1:26" ht="12.75" customHeight="1" x14ac:dyDescent="0.25">
      <c r="A72" s="1"/>
      <c r="B72" s="26" t="s">
        <v>71</v>
      </c>
      <c r="C72" s="27" t="s">
        <v>71</v>
      </c>
      <c r="D72" s="30">
        <v>78</v>
      </c>
      <c r="E72" s="28">
        <v>502</v>
      </c>
      <c r="F72" s="29">
        <v>0</v>
      </c>
      <c r="G72" s="29"/>
      <c r="H72" s="1"/>
      <c r="I72" s="1"/>
      <c r="J72" s="1"/>
      <c r="K72" s="1"/>
      <c r="L72" s="1"/>
      <c r="M72" s="1"/>
      <c r="N72" s="1"/>
      <c r="O72" s="1"/>
      <c r="P72" s="1"/>
      <c r="Q72" s="1"/>
      <c r="R72" s="1"/>
      <c r="S72" s="1"/>
      <c r="T72" s="1"/>
      <c r="U72" s="1"/>
      <c r="V72" s="1"/>
      <c r="W72" s="1"/>
      <c r="X72" s="1"/>
      <c r="Y72" s="1"/>
      <c r="Z72" s="1"/>
    </row>
    <row r="73" spans="1:26" ht="12.75" customHeight="1" x14ac:dyDescent="0.25">
      <c r="A73" s="1"/>
      <c r="B73" s="26" t="s">
        <v>72</v>
      </c>
      <c r="C73" s="27" t="s">
        <v>72</v>
      </c>
      <c r="D73" s="28">
        <v>82</v>
      </c>
      <c r="E73" s="28">
        <v>71</v>
      </c>
      <c r="F73" s="29">
        <v>6.4801859999999998</v>
      </c>
      <c r="G73" s="29"/>
      <c r="H73" s="1"/>
      <c r="I73" s="1"/>
      <c r="J73" s="1"/>
      <c r="K73" s="1"/>
      <c r="L73" s="1"/>
      <c r="M73" s="1"/>
      <c r="N73" s="1"/>
      <c r="O73" s="1"/>
      <c r="P73" s="1"/>
      <c r="Q73" s="1"/>
      <c r="R73" s="1"/>
      <c r="S73" s="1"/>
      <c r="T73" s="1"/>
      <c r="U73" s="1"/>
      <c r="V73" s="1"/>
      <c r="W73" s="1"/>
      <c r="X73" s="1"/>
      <c r="Y73" s="1"/>
      <c r="Z73" s="1"/>
    </row>
    <row r="74" spans="1:26" ht="12.75" customHeight="1" x14ac:dyDescent="0.25">
      <c r="A74" s="1"/>
      <c r="B74" s="31" t="s">
        <v>73</v>
      </c>
      <c r="C74" s="32" t="s">
        <v>73</v>
      </c>
      <c r="D74" s="33">
        <v>1751</v>
      </c>
      <c r="E74" s="33">
        <v>166</v>
      </c>
      <c r="F74" s="34">
        <v>7.0671340000000002</v>
      </c>
      <c r="G74" s="34"/>
      <c r="H74" s="1"/>
      <c r="I74" s="1"/>
      <c r="J74" s="1"/>
      <c r="K74" s="1"/>
      <c r="L74" s="1"/>
      <c r="M74" s="1"/>
      <c r="N74" s="1"/>
      <c r="O74" s="1"/>
      <c r="P74" s="1"/>
      <c r="Q74" s="1"/>
      <c r="R74" s="1"/>
      <c r="S74" s="1"/>
      <c r="T74" s="1"/>
      <c r="U74" s="1"/>
      <c r="V74" s="1"/>
      <c r="W74" s="1"/>
      <c r="X74" s="1"/>
      <c r="Y74" s="1"/>
      <c r="Z74" s="1"/>
    </row>
    <row r="75" spans="1:26" ht="12.75" customHeight="1" x14ac:dyDescent="0.25">
      <c r="A75" s="1"/>
      <c r="B75" s="31" t="s">
        <v>74</v>
      </c>
      <c r="C75" s="32" t="s">
        <v>74</v>
      </c>
      <c r="D75" s="33">
        <v>612</v>
      </c>
      <c r="E75" s="33">
        <v>25</v>
      </c>
      <c r="F75" s="34">
        <v>70.180289999999999</v>
      </c>
      <c r="G75" s="34"/>
      <c r="H75" s="1"/>
      <c r="I75" s="1"/>
      <c r="J75" s="1"/>
      <c r="K75" s="1"/>
      <c r="L75" s="1"/>
      <c r="M75" s="1"/>
      <c r="N75" s="1"/>
      <c r="O75" s="1"/>
      <c r="P75" s="1"/>
      <c r="Q75" s="1"/>
      <c r="R75" s="1"/>
      <c r="S75" s="1"/>
      <c r="T75" s="1"/>
      <c r="U75" s="1"/>
      <c r="V75" s="1"/>
      <c r="W75" s="1"/>
      <c r="X75" s="1"/>
      <c r="Y75" s="1"/>
      <c r="Z75" s="1"/>
    </row>
    <row r="76" spans="1:26" ht="12.75" customHeight="1" x14ac:dyDescent="0.25">
      <c r="A76" s="1"/>
      <c r="B76" s="31" t="s">
        <v>75</v>
      </c>
      <c r="C76" s="32" t="s">
        <v>75</v>
      </c>
      <c r="D76" s="33">
        <v>888</v>
      </c>
      <c r="E76" s="33">
        <v>12</v>
      </c>
      <c r="F76" s="34">
        <v>99.594300000000004</v>
      </c>
      <c r="G76" s="34"/>
      <c r="H76" s="1"/>
      <c r="I76" s="1"/>
      <c r="J76" s="1"/>
      <c r="K76" s="1"/>
      <c r="L76" s="1"/>
      <c r="M76" s="1"/>
      <c r="N76" s="1"/>
      <c r="O76" s="1"/>
      <c r="P76" s="1"/>
      <c r="Q76" s="1"/>
      <c r="R76" s="1"/>
      <c r="S76" s="1"/>
      <c r="T76" s="1"/>
      <c r="U76" s="1"/>
      <c r="V76" s="1"/>
      <c r="W76" s="1"/>
      <c r="X76" s="1"/>
      <c r="Y76" s="1"/>
      <c r="Z76" s="1"/>
    </row>
    <row r="77" spans="1:26" ht="12.75" customHeight="1" x14ac:dyDescent="0.25">
      <c r="A77" s="1"/>
      <c r="B77" s="31" t="s">
        <v>76</v>
      </c>
      <c r="C77" s="32" t="s">
        <v>77</v>
      </c>
      <c r="D77" s="33">
        <v>725</v>
      </c>
      <c r="E77" s="33">
        <v>129</v>
      </c>
      <c r="F77" s="34">
        <v>33.537660000000002</v>
      </c>
      <c r="G77" s="34"/>
      <c r="H77" s="1"/>
      <c r="I77" s="1"/>
      <c r="J77" s="1"/>
      <c r="K77" s="1"/>
      <c r="L77" s="1"/>
      <c r="M77" s="1"/>
      <c r="N77" s="1"/>
      <c r="O77" s="1"/>
      <c r="P77" s="1"/>
      <c r="Q77" s="1"/>
      <c r="R77" s="1"/>
      <c r="S77" s="1"/>
      <c r="T77" s="1"/>
      <c r="U77" s="1"/>
      <c r="V77" s="1"/>
      <c r="W77" s="1"/>
      <c r="X77" s="1"/>
      <c r="Y77" s="1"/>
      <c r="Z77" s="1"/>
    </row>
    <row r="78" spans="1:26" ht="12.75" customHeight="1" x14ac:dyDescent="0.25">
      <c r="A78" s="1"/>
      <c r="B78" s="31" t="s">
        <v>78</v>
      </c>
      <c r="C78" s="36" t="s">
        <v>78</v>
      </c>
      <c r="D78" s="37">
        <v>11</v>
      </c>
      <c r="E78" s="37">
        <v>13</v>
      </c>
      <c r="F78" s="34">
        <v>0</v>
      </c>
      <c r="G78" s="34"/>
      <c r="H78" s="1"/>
      <c r="I78" s="1"/>
      <c r="J78" s="1"/>
      <c r="K78" s="1"/>
      <c r="L78" s="1"/>
      <c r="M78" s="1"/>
      <c r="N78" s="1"/>
      <c r="O78" s="1"/>
      <c r="P78" s="1"/>
      <c r="Q78" s="1"/>
      <c r="R78" s="1"/>
      <c r="S78" s="1"/>
      <c r="T78" s="1"/>
      <c r="U78" s="1"/>
      <c r="V78" s="1"/>
      <c r="W78" s="1"/>
      <c r="X78" s="1"/>
      <c r="Y78" s="1"/>
      <c r="Z78" s="1"/>
    </row>
    <row r="79" spans="1:26" ht="12.75" customHeight="1" x14ac:dyDescent="0.25">
      <c r="A79" s="1"/>
      <c r="B79" s="26" t="s">
        <v>79</v>
      </c>
      <c r="C79" s="27" t="s">
        <v>79</v>
      </c>
      <c r="D79" s="28">
        <v>2</v>
      </c>
      <c r="E79" s="28">
        <v>28</v>
      </c>
      <c r="F79" s="29">
        <v>36.633659999999999</v>
      </c>
      <c r="G79" s="29"/>
      <c r="H79" s="1"/>
      <c r="I79" s="1"/>
      <c r="J79" s="1"/>
      <c r="K79" s="1"/>
      <c r="L79" s="1"/>
      <c r="M79" s="1"/>
      <c r="N79" s="1"/>
      <c r="O79" s="1"/>
      <c r="P79" s="1"/>
      <c r="Q79" s="1"/>
      <c r="R79" s="1"/>
      <c r="S79" s="1"/>
      <c r="T79" s="1"/>
      <c r="U79" s="1"/>
      <c r="V79" s="1"/>
      <c r="W79" s="1"/>
      <c r="X79" s="1"/>
      <c r="Y79" s="1"/>
      <c r="Z79" s="1"/>
    </row>
    <row r="80" spans="1:26" ht="12.75" customHeight="1" x14ac:dyDescent="0.25">
      <c r="A80" s="1"/>
      <c r="B80" s="26" t="s">
        <v>80</v>
      </c>
      <c r="C80" s="27" t="s">
        <v>80</v>
      </c>
      <c r="D80" s="28">
        <v>339</v>
      </c>
      <c r="E80" s="28">
        <v>33</v>
      </c>
      <c r="F80" s="29">
        <v>11.2506</v>
      </c>
      <c r="G80" s="29"/>
      <c r="H80" s="1"/>
      <c r="I80" s="1"/>
      <c r="J80" s="1"/>
      <c r="K80" s="1"/>
      <c r="L80" s="1"/>
      <c r="M80" s="1"/>
      <c r="N80" s="1"/>
      <c r="O80" s="1"/>
      <c r="P80" s="1"/>
      <c r="Q80" s="1"/>
      <c r="R80" s="1"/>
      <c r="S80" s="1"/>
      <c r="T80" s="1"/>
      <c r="U80" s="1"/>
      <c r="V80" s="1"/>
      <c r="W80" s="1"/>
      <c r="X80" s="1"/>
      <c r="Y80" s="1"/>
      <c r="Z80" s="1"/>
    </row>
    <row r="81" spans="1:26" ht="12.75" customHeight="1" x14ac:dyDescent="0.25">
      <c r="A81" s="1"/>
      <c r="B81" s="26" t="s">
        <v>81</v>
      </c>
      <c r="C81" s="27" t="s">
        <v>81</v>
      </c>
      <c r="D81" s="30">
        <v>680</v>
      </c>
      <c r="E81" s="28">
        <v>43</v>
      </c>
      <c r="F81" s="29">
        <v>47.714860000000002</v>
      </c>
      <c r="G81" s="29"/>
      <c r="H81" s="1"/>
      <c r="I81" s="1"/>
      <c r="J81" s="1"/>
      <c r="K81" s="1"/>
      <c r="L81" s="1"/>
      <c r="M81" s="1"/>
      <c r="N81" s="1"/>
      <c r="O81" s="1"/>
      <c r="P81" s="1"/>
      <c r="Q81" s="1"/>
      <c r="R81" s="1"/>
      <c r="S81" s="1"/>
      <c r="T81" s="1"/>
      <c r="U81" s="1"/>
      <c r="V81" s="1"/>
      <c r="W81" s="1"/>
      <c r="X81" s="1"/>
      <c r="Y81" s="1"/>
      <c r="Z81" s="1"/>
    </row>
    <row r="82" spans="1:26" ht="12.75" customHeight="1" x14ac:dyDescent="0.25">
      <c r="A82" s="1"/>
      <c r="B82" s="26" t="s">
        <v>82</v>
      </c>
      <c r="C82" s="27" t="s">
        <v>82</v>
      </c>
      <c r="D82" s="28">
        <v>3422</v>
      </c>
      <c r="E82" s="28">
        <v>39</v>
      </c>
      <c r="F82" s="29">
        <v>8.8057130000000008</v>
      </c>
      <c r="G82" s="29"/>
      <c r="H82" s="1"/>
      <c r="I82" s="1"/>
      <c r="J82" s="1"/>
      <c r="K82" s="1"/>
      <c r="L82" s="1"/>
      <c r="M82" s="1"/>
      <c r="N82" s="1"/>
      <c r="O82" s="1"/>
      <c r="P82" s="1"/>
      <c r="Q82" s="1"/>
      <c r="R82" s="1"/>
      <c r="S82" s="1"/>
      <c r="T82" s="1"/>
      <c r="U82" s="1"/>
      <c r="V82" s="1"/>
      <c r="W82" s="1"/>
      <c r="X82" s="1"/>
      <c r="Y82" s="1"/>
      <c r="Z82" s="1"/>
    </row>
    <row r="83" spans="1:26" ht="12.75" customHeight="1" x14ac:dyDescent="0.25">
      <c r="A83" s="1"/>
      <c r="B83" s="26" t="s">
        <v>83</v>
      </c>
      <c r="C83" s="27" t="s">
        <v>83</v>
      </c>
      <c r="D83" s="28">
        <v>176</v>
      </c>
      <c r="E83" s="28">
        <v>29</v>
      </c>
      <c r="F83" s="29">
        <v>56.445050000000002</v>
      </c>
      <c r="G83" s="29"/>
      <c r="H83" s="1"/>
      <c r="I83" s="1"/>
      <c r="J83" s="1"/>
      <c r="K83" s="1"/>
      <c r="L83" s="1"/>
      <c r="M83" s="1"/>
      <c r="N83" s="1"/>
      <c r="O83" s="1"/>
      <c r="P83" s="1"/>
      <c r="Q83" s="1"/>
      <c r="R83" s="1"/>
      <c r="S83" s="1"/>
      <c r="T83" s="1"/>
      <c r="U83" s="1"/>
      <c r="V83" s="1"/>
      <c r="W83" s="1"/>
      <c r="X83" s="1"/>
      <c r="Y83" s="1"/>
      <c r="Z83" s="1"/>
    </row>
    <row r="84" spans="1:26" ht="12.75" customHeight="1" x14ac:dyDescent="0.25">
      <c r="A84" s="1"/>
      <c r="B84" s="31" t="s">
        <v>84</v>
      </c>
      <c r="C84" s="32" t="s">
        <v>84</v>
      </c>
      <c r="D84" s="33">
        <v>73</v>
      </c>
      <c r="E84" s="33">
        <v>91</v>
      </c>
      <c r="F84" s="34">
        <v>6.3636359999999996</v>
      </c>
      <c r="G84" s="34"/>
      <c r="H84" s="1"/>
      <c r="I84" s="1"/>
      <c r="J84" s="1"/>
      <c r="K84" s="1"/>
      <c r="L84" s="1"/>
      <c r="M84" s="1"/>
      <c r="N84" s="1"/>
      <c r="O84" s="1"/>
      <c r="P84" s="1"/>
      <c r="Q84" s="1"/>
      <c r="R84" s="1"/>
      <c r="S84" s="1"/>
      <c r="T84" s="1"/>
      <c r="U84" s="1"/>
      <c r="V84" s="1"/>
      <c r="W84" s="1"/>
      <c r="X84" s="1"/>
      <c r="Y84" s="1"/>
      <c r="Z84" s="1"/>
    </row>
    <row r="85" spans="1:26" ht="12.75" customHeight="1" x14ac:dyDescent="0.25">
      <c r="A85" s="1"/>
      <c r="B85" s="31" t="s">
        <v>85</v>
      </c>
      <c r="C85" s="32" t="s">
        <v>85</v>
      </c>
      <c r="D85" s="33">
        <v>34</v>
      </c>
      <c r="E85" s="33">
        <v>7</v>
      </c>
      <c r="F85" s="34">
        <v>0.55096400000000001</v>
      </c>
      <c r="G85" s="34"/>
      <c r="H85" s="1"/>
      <c r="I85" s="1"/>
      <c r="J85" s="1"/>
      <c r="K85" s="1"/>
      <c r="L85" s="1"/>
      <c r="M85" s="1"/>
      <c r="N85" s="1"/>
      <c r="O85" s="1"/>
      <c r="P85" s="1"/>
      <c r="Q85" s="1"/>
      <c r="R85" s="1"/>
      <c r="S85" s="1"/>
      <c r="T85" s="1"/>
      <c r="U85" s="1"/>
      <c r="V85" s="1"/>
      <c r="W85" s="1"/>
      <c r="X85" s="1"/>
      <c r="Y85" s="1"/>
      <c r="Z85" s="1"/>
    </row>
    <row r="86" spans="1:26" ht="12.75" customHeight="1" x14ac:dyDescent="0.25">
      <c r="A86" s="1"/>
      <c r="B86" s="31" t="s">
        <v>86</v>
      </c>
      <c r="C86" s="32" t="s">
        <v>86</v>
      </c>
      <c r="D86" s="33">
        <v>258</v>
      </c>
      <c r="E86" s="33">
        <v>195</v>
      </c>
      <c r="F86" s="34">
        <v>4.1807910000000001</v>
      </c>
      <c r="G86" s="34"/>
      <c r="H86" s="1"/>
      <c r="I86" s="1"/>
      <c r="J86" s="1"/>
      <c r="K86" s="1"/>
      <c r="L86" s="1"/>
      <c r="M86" s="1"/>
      <c r="N86" s="1"/>
      <c r="O86" s="1"/>
      <c r="P86" s="1"/>
      <c r="Q86" s="1"/>
      <c r="R86" s="1"/>
      <c r="S86" s="1"/>
      <c r="T86" s="1"/>
      <c r="U86" s="1"/>
      <c r="V86" s="1"/>
      <c r="W86" s="1"/>
      <c r="X86" s="1"/>
      <c r="Y86" s="1"/>
      <c r="Z86" s="1"/>
    </row>
    <row r="87" spans="1:26" ht="12.75" customHeight="1" x14ac:dyDescent="0.25">
      <c r="A87" s="1"/>
      <c r="B87" s="31" t="s">
        <v>87</v>
      </c>
      <c r="C87" s="32" t="s">
        <v>87</v>
      </c>
      <c r="D87" s="33">
        <v>1394</v>
      </c>
      <c r="E87" s="33">
        <v>15</v>
      </c>
      <c r="F87" s="34">
        <v>99.908249999999995</v>
      </c>
      <c r="G87" s="34"/>
      <c r="H87" s="1"/>
      <c r="I87" s="1"/>
      <c r="J87" s="1"/>
      <c r="K87" s="1"/>
      <c r="L87" s="1"/>
      <c r="M87" s="1"/>
      <c r="N87" s="1"/>
      <c r="O87" s="1"/>
      <c r="P87" s="1"/>
      <c r="Q87" s="1"/>
      <c r="R87" s="1"/>
      <c r="S87" s="1"/>
      <c r="T87" s="1"/>
      <c r="U87" s="1"/>
      <c r="V87" s="1"/>
      <c r="W87" s="1"/>
      <c r="X87" s="1"/>
      <c r="Y87" s="1"/>
      <c r="Z87" s="1"/>
    </row>
    <row r="88" spans="1:26" ht="12.75" customHeight="1" x14ac:dyDescent="0.25">
      <c r="A88" s="1"/>
      <c r="B88" s="31" t="s">
        <v>88</v>
      </c>
      <c r="C88" s="36" t="s">
        <v>88</v>
      </c>
      <c r="D88" s="37">
        <v>9</v>
      </c>
      <c r="E88" s="37">
        <v>179</v>
      </c>
      <c r="F88" s="34">
        <v>38.566549999999999</v>
      </c>
      <c r="G88" s="34"/>
      <c r="H88" s="1"/>
      <c r="I88" s="1"/>
      <c r="J88" s="1"/>
      <c r="K88" s="1"/>
      <c r="L88" s="1"/>
      <c r="M88" s="1"/>
      <c r="N88" s="1"/>
      <c r="O88" s="1"/>
      <c r="P88" s="1"/>
      <c r="Q88" s="1"/>
      <c r="R88" s="1"/>
      <c r="S88" s="1"/>
      <c r="T88" s="1"/>
      <c r="U88" s="1"/>
      <c r="V88" s="1"/>
      <c r="W88" s="1"/>
      <c r="X88" s="1"/>
      <c r="Y88" s="1"/>
      <c r="Z88" s="1"/>
    </row>
    <row r="89" spans="1:26" ht="12.75" customHeight="1" x14ac:dyDescent="0.25">
      <c r="A89" s="1"/>
      <c r="B89" s="26" t="s">
        <v>89</v>
      </c>
      <c r="C89" s="27" t="s">
        <v>89</v>
      </c>
      <c r="D89" s="28">
        <v>1</v>
      </c>
      <c r="E89" s="28">
        <v>258</v>
      </c>
      <c r="F89" s="29">
        <v>33.333329999999997</v>
      </c>
      <c r="G89" s="29"/>
      <c r="H89" s="1"/>
      <c r="I89" s="1"/>
      <c r="J89" s="1"/>
      <c r="K89" s="1"/>
      <c r="L89" s="1"/>
      <c r="M89" s="1"/>
      <c r="N89" s="1"/>
      <c r="O89" s="1"/>
      <c r="P89" s="1"/>
      <c r="Q89" s="1"/>
      <c r="R89" s="1"/>
      <c r="S89" s="1"/>
      <c r="T89" s="1"/>
      <c r="U89" s="1"/>
      <c r="V89" s="1"/>
      <c r="W89" s="1"/>
      <c r="X89" s="1"/>
      <c r="Y89" s="1"/>
      <c r="Z89" s="1"/>
    </row>
    <row r="90" spans="1:26" ht="12.75" customHeight="1" x14ac:dyDescent="0.25">
      <c r="A90" s="1"/>
      <c r="B90" s="26" t="s">
        <v>90</v>
      </c>
      <c r="C90" s="27" t="s">
        <v>90</v>
      </c>
      <c r="D90" s="28">
        <v>31</v>
      </c>
      <c r="E90" s="28">
        <v>36</v>
      </c>
      <c r="F90" s="29">
        <v>62.004660000000001</v>
      </c>
      <c r="G90" s="29"/>
      <c r="H90" s="1"/>
      <c r="I90" s="1"/>
      <c r="J90" s="1"/>
      <c r="K90" s="1"/>
      <c r="L90" s="1"/>
      <c r="M90" s="1"/>
      <c r="N90" s="1"/>
      <c r="O90" s="1"/>
      <c r="P90" s="1"/>
      <c r="Q90" s="1"/>
      <c r="R90" s="1"/>
      <c r="S90" s="1"/>
      <c r="T90" s="1"/>
      <c r="U90" s="1"/>
      <c r="V90" s="1"/>
      <c r="W90" s="1"/>
      <c r="X90" s="1"/>
      <c r="Y90" s="1"/>
      <c r="Z90" s="1"/>
    </row>
    <row r="91" spans="1:26" ht="12.75" customHeight="1" x14ac:dyDescent="0.25">
      <c r="A91" s="1"/>
      <c r="B91" s="26" t="s">
        <v>91</v>
      </c>
      <c r="C91" s="27" t="s">
        <v>91</v>
      </c>
      <c r="D91" s="30">
        <v>1374</v>
      </c>
      <c r="E91" s="28">
        <v>252</v>
      </c>
      <c r="F91" s="29">
        <v>19.536570000000001</v>
      </c>
      <c r="G91" s="29"/>
      <c r="H91" s="1"/>
      <c r="I91" s="1"/>
      <c r="J91" s="1"/>
      <c r="K91" s="1"/>
      <c r="L91" s="1"/>
      <c r="M91" s="1"/>
      <c r="N91" s="1"/>
      <c r="O91" s="1"/>
      <c r="P91" s="1"/>
      <c r="Q91" s="1"/>
      <c r="R91" s="1"/>
      <c r="S91" s="1"/>
      <c r="T91" s="1"/>
      <c r="U91" s="1"/>
      <c r="V91" s="1"/>
      <c r="W91" s="1"/>
      <c r="X91" s="1"/>
      <c r="Y91" s="1"/>
      <c r="Z91" s="1"/>
    </row>
    <row r="92" spans="1:26" ht="12.75" customHeight="1" x14ac:dyDescent="0.25">
      <c r="A92" s="1"/>
      <c r="B92" s="26" t="s">
        <v>92</v>
      </c>
      <c r="C92" s="27" t="s">
        <v>93</v>
      </c>
      <c r="D92" s="28">
        <v>10597</v>
      </c>
      <c r="E92" s="28">
        <v>166</v>
      </c>
      <c r="F92" s="29">
        <v>17.02028</v>
      </c>
      <c r="G92" s="29"/>
      <c r="H92" s="1"/>
      <c r="I92" s="1"/>
      <c r="J92" s="1"/>
      <c r="K92" s="1"/>
      <c r="L92" s="1"/>
      <c r="M92" s="1"/>
      <c r="N92" s="1"/>
      <c r="O92" s="1"/>
      <c r="P92" s="1"/>
      <c r="Q92" s="1"/>
      <c r="R92" s="1"/>
      <c r="S92" s="1"/>
      <c r="T92" s="1"/>
      <c r="U92" s="1"/>
      <c r="V92" s="1"/>
      <c r="W92" s="1"/>
      <c r="X92" s="1"/>
      <c r="Y92" s="1"/>
      <c r="Z92" s="1"/>
    </row>
    <row r="93" spans="1:26" ht="12.75" customHeight="1" x14ac:dyDescent="0.25">
      <c r="A93" s="1"/>
      <c r="B93" s="26" t="s">
        <v>94</v>
      </c>
      <c r="C93" s="27" t="s">
        <v>94</v>
      </c>
      <c r="D93" s="28">
        <v>13</v>
      </c>
      <c r="E93" s="28">
        <v>52</v>
      </c>
      <c r="F93" s="29">
        <v>62.004660000000001</v>
      </c>
      <c r="G93" s="29"/>
      <c r="H93" s="1"/>
      <c r="I93" s="1"/>
      <c r="J93" s="1"/>
      <c r="K93" s="1"/>
      <c r="L93" s="1"/>
      <c r="M93" s="1"/>
      <c r="N93" s="1"/>
      <c r="O93" s="1"/>
      <c r="P93" s="1"/>
      <c r="Q93" s="1"/>
      <c r="R93" s="1"/>
      <c r="S93" s="1"/>
      <c r="T93" s="1"/>
      <c r="U93" s="1"/>
      <c r="V93" s="1"/>
      <c r="W93" s="1"/>
      <c r="X93" s="1"/>
      <c r="Y93" s="1"/>
      <c r="Z93" s="1"/>
    </row>
    <row r="94" spans="1:26" ht="12.75" customHeight="1" x14ac:dyDescent="0.25">
      <c r="A94" s="1"/>
      <c r="B94" s="31" t="s">
        <v>95</v>
      </c>
      <c r="C94" s="32" t="s">
        <v>95</v>
      </c>
      <c r="D94" s="33">
        <v>12</v>
      </c>
      <c r="E94" s="33">
        <v>44</v>
      </c>
      <c r="F94" s="34">
        <v>26.855599999999999</v>
      </c>
      <c r="G94" s="34"/>
      <c r="H94" s="1"/>
      <c r="I94" s="1"/>
      <c r="J94" s="1"/>
      <c r="K94" s="1"/>
      <c r="L94" s="1"/>
      <c r="M94" s="1"/>
      <c r="N94" s="1"/>
      <c r="O94" s="1"/>
      <c r="P94" s="1"/>
      <c r="Q94" s="1"/>
      <c r="R94" s="1"/>
      <c r="S94" s="1"/>
      <c r="T94" s="1"/>
      <c r="U94" s="1"/>
      <c r="V94" s="1"/>
      <c r="W94" s="1"/>
      <c r="X94" s="1"/>
      <c r="Y94" s="1"/>
      <c r="Z94" s="1"/>
    </row>
    <row r="95" spans="1:26" ht="12.75" customHeight="1" x14ac:dyDescent="0.25">
      <c r="A95" s="1"/>
      <c r="B95" s="31" t="s">
        <v>96</v>
      </c>
      <c r="C95" s="32" t="s">
        <v>96</v>
      </c>
      <c r="D95" s="33">
        <v>99</v>
      </c>
      <c r="E95" s="33">
        <v>60</v>
      </c>
      <c r="F95" s="34">
        <v>37.5</v>
      </c>
      <c r="G95" s="34"/>
      <c r="H95" s="1"/>
      <c r="I95" s="1"/>
      <c r="J95" s="1"/>
      <c r="K95" s="1"/>
      <c r="L95" s="1"/>
      <c r="M95" s="1"/>
      <c r="N95" s="1"/>
      <c r="O95" s="1"/>
      <c r="P95" s="1"/>
      <c r="Q95" s="1"/>
      <c r="R95" s="1"/>
      <c r="S95" s="1"/>
      <c r="T95" s="1"/>
      <c r="U95" s="1"/>
      <c r="V95" s="1"/>
      <c r="W95" s="1"/>
      <c r="X95" s="1"/>
      <c r="Y95" s="1"/>
      <c r="Z95" s="1"/>
    </row>
    <row r="96" spans="1:26" ht="12.75" customHeight="1" x14ac:dyDescent="0.25">
      <c r="A96" s="1"/>
      <c r="B96" s="31" t="s">
        <v>97</v>
      </c>
      <c r="C96" s="32" t="s">
        <v>97</v>
      </c>
      <c r="D96" s="33">
        <v>14</v>
      </c>
      <c r="E96" s="33">
        <v>7</v>
      </c>
      <c r="F96" s="34">
        <v>0</v>
      </c>
      <c r="G96" s="34"/>
      <c r="H96" s="1"/>
      <c r="I96" s="1"/>
      <c r="J96" s="1"/>
      <c r="K96" s="1"/>
      <c r="L96" s="1"/>
      <c r="M96" s="1"/>
      <c r="N96" s="1"/>
      <c r="O96" s="1"/>
      <c r="P96" s="1"/>
      <c r="Q96" s="1"/>
      <c r="R96" s="1"/>
      <c r="S96" s="1"/>
      <c r="T96" s="1"/>
      <c r="U96" s="1"/>
      <c r="V96" s="1"/>
      <c r="W96" s="1"/>
      <c r="X96" s="1"/>
      <c r="Y96" s="1"/>
      <c r="Z96" s="1"/>
    </row>
    <row r="97" spans="1:26" ht="12.75" customHeight="1" x14ac:dyDescent="0.25">
      <c r="A97" s="1"/>
      <c r="B97" s="31" t="s">
        <v>98</v>
      </c>
      <c r="C97" s="32" t="s">
        <v>98</v>
      </c>
      <c r="D97" s="33">
        <v>163</v>
      </c>
      <c r="E97" s="33">
        <v>40</v>
      </c>
      <c r="F97" s="34">
        <v>82.224869999999996</v>
      </c>
      <c r="G97" s="34"/>
      <c r="H97" s="1"/>
      <c r="I97" s="1"/>
      <c r="J97" s="1"/>
      <c r="K97" s="1"/>
      <c r="L97" s="1"/>
      <c r="M97" s="1"/>
      <c r="N97" s="1"/>
      <c r="O97" s="1"/>
      <c r="P97" s="1"/>
      <c r="Q97" s="1"/>
      <c r="R97" s="1"/>
      <c r="S97" s="1"/>
      <c r="T97" s="1"/>
      <c r="U97" s="1"/>
      <c r="V97" s="1"/>
      <c r="W97" s="1"/>
      <c r="X97" s="1"/>
      <c r="Y97" s="1"/>
      <c r="Z97" s="1"/>
    </row>
    <row r="98" spans="1:26" ht="12.75" customHeight="1" x14ac:dyDescent="0.25">
      <c r="A98" s="1"/>
      <c r="B98" s="31" t="s">
        <v>99</v>
      </c>
      <c r="C98" s="36" t="s">
        <v>99</v>
      </c>
      <c r="D98" s="37">
        <v>13261</v>
      </c>
      <c r="E98" s="37">
        <v>165</v>
      </c>
      <c r="F98" s="34">
        <v>17.901530000000001</v>
      </c>
      <c r="G98" s="34"/>
      <c r="H98" s="1"/>
      <c r="I98" s="1"/>
      <c r="J98" s="1"/>
      <c r="K98" s="1"/>
      <c r="L98" s="1"/>
      <c r="M98" s="1"/>
      <c r="N98" s="1"/>
      <c r="O98" s="1"/>
      <c r="P98" s="1"/>
      <c r="Q98" s="1"/>
      <c r="R98" s="1"/>
      <c r="S98" s="1"/>
      <c r="T98" s="1"/>
      <c r="U98" s="1"/>
      <c r="V98" s="1"/>
      <c r="W98" s="1"/>
      <c r="X98" s="1"/>
      <c r="Y98" s="1"/>
      <c r="Z98" s="1"/>
    </row>
    <row r="99" spans="1:26" ht="12.75" customHeight="1" x14ac:dyDescent="0.25">
      <c r="A99" s="1"/>
      <c r="B99" s="26" t="s">
        <v>100</v>
      </c>
      <c r="C99" s="27" t="s">
        <v>100</v>
      </c>
      <c r="D99" s="28">
        <v>316</v>
      </c>
      <c r="E99" s="28">
        <v>12</v>
      </c>
      <c r="F99" s="29">
        <v>63.102629999999998</v>
      </c>
      <c r="G99" s="29"/>
      <c r="H99" s="1"/>
      <c r="I99" s="1"/>
      <c r="J99" s="1"/>
      <c r="K99" s="1"/>
      <c r="L99" s="1"/>
      <c r="M99" s="1"/>
      <c r="N99" s="1"/>
      <c r="O99" s="1"/>
      <c r="P99" s="1"/>
      <c r="Q99" s="1"/>
      <c r="R99" s="1"/>
      <c r="S99" s="1"/>
      <c r="T99" s="1"/>
      <c r="U99" s="1"/>
      <c r="V99" s="1"/>
      <c r="W99" s="1"/>
      <c r="X99" s="1"/>
      <c r="Y99" s="1"/>
      <c r="Z99" s="1"/>
    </row>
    <row r="100" spans="1:26" ht="12.75" customHeight="1" x14ac:dyDescent="0.25">
      <c r="A100" s="1"/>
      <c r="B100" s="26" t="s">
        <v>101</v>
      </c>
      <c r="C100" s="27" t="s">
        <v>101</v>
      </c>
      <c r="D100" s="28">
        <v>8</v>
      </c>
      <c r="E100" s="28">
        <v>245</v>
      </c>
      <c r="F100" s="29">
        <v>0</v>
      </c>
      <c r="G100" s="29"/>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26" t="s">
        <v>102</v>
      </c>
      <c r="C101" s="27" t="s">
        <v>102</v>
      </c>
      <c r="D101" s="30">
        <v>993</v>
      </c>
      <c r="E101" s="28">
        <v>90</v>
      </c>
      <c r="F101" s="29">
        <v>24.795280000000002</v>
      </c>
      <c r="G101" s="29"/>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26" t="s">
        <v>103</v>
      </c>
      <c r="C102" s="27" t="s">
        <v>104</v>
      </c>
      <c r="D102" s="28">
        <v>9</v>
      </c>
      <c r="E102" s="28">
        <v>166</v>
      </c>
      <c r="F102" s="29">
        <v>78.125</v>
      </c>
      <c r="G102" s="29"/>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26" t="s">
        <v>105</v>
      </c>
      <c r="C103" s="27" t="s">
        <v>105</v>
      </c>
      <c r="D103" s="28">
        <v>5</v>
      </c>
      <c r="E103" s="28">
        <v>43</v>
      </c>
      <c r="F103" s="29">
        <v>0</v>
      </c>
      <c r="G103" s="29"/>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31" t="s">
        <v>106</v>
      </c>
      <c r="C104" s="32" t="s">
        <v>106</v>
      </c>
      <c r="D104" s="33">
        <v>33</v>
      </c>
      <c r="E104" s="33">
        <v>70</v>
      </c>
      <c r="F104" s="34">
        <v>14.81481</v>
      </c>
      <c r="G104" s="34"/>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31" t="s">
        <v>107</v>
      </c>
      <c r="C105" s="32" t="s">
        <v>107</v>
      </c>
      <c r="D105" s="33" t="s">
        <v>17</v>
      </c>
      <c r="E105" s="33" t="s">
        <v>17</v>
      </c>
      <c r="F105" s="34">
        <v>0</v>
      </c>
      <c r="G105" s="34"/>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31" t="s">
        <v>108</v>
      </c>
      <c r="C106" s="32" t="s">
        <v>108</v>
      </c>
      <c r="D106" s="33">
        <v>452</v>
      </c>
      <c r="E106" s="33">
        <v>29</v>
      </c>
      <c r="F106" s="34">
        <v>49.521680000000003</v>
      </c>
      <c r="G106" s="34"/>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31" t="s">
        <v>109</v>
      </c>
      <c r="C107" s="32" t="s">
        <v>109</v>
      </c>
      <c r="D107" s="33">
        <v>0</v>
      </c>
      <c r="E107" s="33">
        <v>6</v>
      </c>
      <c r="F107" s="34">
        <v>0</v>
      </c>
      <c r="G107" s="34"/>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31" t="s">
        <v>110</v>
      </c>
      <c r="C108" s="36" t="s">
        <v>110</v>
      </c>
      <c r="D108" s="37">
        <v>145</v>
      </c>
      <c r="E108" s="37">
        <v>12</v>
      </c>
      <c r="F108" s="34">
        <v>48.442210000000003</v>
      </c>
      <c r="G108" s="34"/>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26" t="s">
        <v>111</v>
      </c>
      <c r="C109" s="27" t="s">
        <v>111</v>
      </c>
      <c r="D109" s="28">
        <v>29</v>
      </c>
      <c r="E109" s="28">
        <v>17</v>
      </c>
      <c r="F109" s="29">
        <v>0</v>
      </c>
      <c r="G109" s="29"/>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26" t="s">
        <v>112</v>
      </c>
      <c r="C110" s="27" t="s">
        <v>112</v>
      </c>
      <c r="D110" s="28">
        <v>34</v>
      </c>
      <c r="E110" s="28">
        <v>45</v>
      </c>
      <c r="F110" s="29">
        <v>0</v>
      </c>
      <c r="G110" s="29"/>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26" t="s">
        <v>113</v>
      </c>
      <c r="C111" s="27" t="s">
        <v>113</v>
      </c>
      <c r="D111" s="30">
        <v>172</v>
      </c>
      <c r="E111" s="28">
        <v>16</v>
      </c>
      <c r="F111" s="29">
        <v>12.76018</v>
      </c>
      <c r="G111" s="29"/>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26" t="s">
        <v>114</v>
      </c>
      <c r="C112" s="27" t="s">
        <v>114</v>
      </c>
      <c r="D112" s="28">
        <v>217</v>
      </c>
      <c r="E112" s="28">
        <v>28</v>
      </c>
      <c r="F112" s="29">
        <v>37.763190000000002</v>
      </c>
      <c r="G112" s="29"/>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26" t="s">
        <v>115</v>
      </c>
      <c r="C113" s="27" t="s">
        <v>115</v>
      </c>
      <c r="D113" s="28">
        <v>947</v>
      </c>
      <c r="E113" s="28">
        <v>95</v>
      </c>
      <c r="F113" s="29">
        <v>3.2636340000000001</v>
      </c>
      <c r="G113" s="29"/>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31" t="s">
        <v>116</v>
      </c>
      <c r="C114" s="32" t="s">
        <v>116</v>
      </c>
      <c r="D114" s="38">
        <v>312</v>
      </c>
      <c r="E114" s="38">
        <v>957</v>
      </c>
      <c r="F114" s="34">
        <v>99.972399999999993</v>
      </c>
      <c r="G114" s="34"/>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31" t="s">
        <v>4</v>
      </c>
      <c r="C115" s="32" t="s">
        <v>4</v>
      </c>
      <c r="D115" s="33">
        <v>33195</v>
      </c>
      <c r="E115" s="33">
        <v>26</v>
      </c>
      <c r="F115" s="34">
        <v>14.96908</v>
      </c>
      <c r="G115" s="34"/>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31" t="s">
        <v>117</v>
      </c>
      <c r="C116" s="32" t="s">
        <v>118</v>
      </c>
      <c r="D116" s="33">
        <v>8754</v>
      </c>
      <c r="E116" s="33">
        <v>35</v>
      </c>
      <c r="F116" s="34">
        <v>12.18904</v>
      </c>
      <c r="G116" s="34"/>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31" t="s">
        <v>119</v>
      </c>
      <c r="C117" s="32" t="s">
        <v>119</v>
      </c>
      <c r="D117" s="33">
        <v>9172</v>
      </c>
      <c r="E117" s="33">
        <v>119</v>
      </c>
      <c r="F117" s="34">
        <v>5.7077210000000003</v>
      </c>
      <c r="G117" s="34"/>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31" t="s">
        <v>120</v>
      </c>
      <c r="C118" s="36" t="s">
        <v>120</v>
      </c>
      <c r="D118" s="37">
        <v>2077</v>
      </c>
      <c r="E118" s="37">
        <v>61</v>
      </c>
      <c r="F118" s="34">
        <v>7.8715539999999997</v>
      </c>
      <c r="G118" s="34"/>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26" t="s">
        <v>121</v>
      </c>
      <c r="C119" s="27" t="s">
        <v>121</v>
      </c>
      <c r="D119" s="28">
        <v>548</v>
      </c>
      <c r="E119" s="28">
        <v>117</v>
      </c>
      <c r="F119" s="29">
        <v>20.921060000000001</v>
      </c>
      <c r="G119" s="29"/>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26" t="s">
        <v>122</v>
      </c>
      <c r="C120" s="27" t="s">
        <v>122</v>
      </c>
      <c r="D120" s="28">
        <v>0</v>
      </c>
      <c r="E120" s="28">
        <v>4</v>
      </c>
      <c r="F120" s="29">
        <v>0.793651</v>
      </c>
      <c r="G120" s="29"/>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26" t="s">
        <v>123</v>
      </c>
      <c r="C121" s="27" t="s">
        <v>123</v>
      </c>
      <c r="D121" s="30">
        <v>997</v>
      </c>
      <c r="E121" s="28">
        <v>128</v>
      </c>
      <c r="F121" s="29">
        <v>0.872525</v>
      </c>
      <c r="G121" s="29"/>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26" t="s">
        <v>124</v>
      </c>
      <c r="C122" s="27" t="s">
        <v>125</v>
      </c>
      <c r="D122" s="28">
        <v>6530</v>
      </c>
      <c r="E122" s="28">
        <v>109</v>
      </c>
      <c r="F122" s="29">
        <v>33.667230000000004</v>
      </c>
      <c r="G122" s="29"/>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26" t="s">
        <v>126</v>
      </c>
      <c r="C123" s="27" t="s">
        <v>126</v>
      </c>
      <c r="D123" s="28">
        <v>108</v>
      </c>
      <c r="E123" s="28">
        <v>39</v>
      </c>
      <c r="F123" s="29">
        <v>5.615602</v>
      </c>
      <c r="G123" s="29"/>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31" t="s">
        <v>127</v>
      </c>
      <c r="C124" s="32" t="s">
        <v>128</v>
      </c>
      <c r="D124" s="33">
        <v>18984</v>
      </c>
      <c r="E124" s="33">
        <v>149</v>
      </c>
      <c r="F124" s="34">
        <v>10.23282</v>
      </c>
      <c r="G124" s="34"/>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31" t="s">
        <v>129</v>
      </c>
      <c r="C125" s="32" t="s">
        <v>129</v>
      </c>
      <c r="D125" s="33">
        <v>3</v>
      </c>
      <c r="E125" s="33">
        <v>34</v>
      </c>
      <c r="F125" s="34">
        <v>0</v>
      </c>
      <c r="G125" s="34"/>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31" t="s">
        <v>130</v>
      </c>
      <c r="C126" s="32" t="s">
        <v>130</v>
      </c>
      <c r="D126" s="33">
        <v>325</v>
      </c>
      <c r="E126" s="33">
        <v>45</v>
      </c>
      <c r="F126" s="34">
        <v>0.33597900000000003</v>
      </c>
      <c r="G126" s="34"/>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31" t="s">
        <v>131</v>
      </c>
      <c r="C127" s="32" t="s">
        <v>131</v>
      </c>
      <c r="D127" s="33">
        <v>3548</v>
      </c>
      <c r="E127" s="33">
        <v>208</v>
      </c>
      <c r="F127" s="34">
        <v>8.1127839999999996</v>
      </c>
      <c r="G127" s="34"/>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31" t="s">
        <v>132</v>
      </c>
      <c r="C128" s="36" t="s">
        <v>132</v>
      </c>
      <c r="D128" s="37">
        <v>873</v>
      </c>
      <c r="E128" s="37">
        <v>20</v>
      </c>
      <c r="F128" s="34">
        <v>73.757099999999994</v>
      </c>
      <c r="G128" s="34"/>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26" t="s">
        <v>133</v>
      </c>
      <c r="C129" s="27" t="s">
        <v>133</v>
      </c>
      <c r="D129" s="28">
        <v>1</v>
      </c>
      <c r="E129" s="28">
        <v>8</v>
      </c>
      <c r="F129" s="29">
        <v>0</v>
      </c>
      <c r="G129" s="29"/>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26" t="s">
        <v>134</v>
      </c>
      <c r="C130" s="27" t="s">
        <v>135</v>
      </c>
      <c r="D130" s="28">
        <v>1475</v>
      </c>
      <c r="E130" s="28">
        <v>410</v>
      </c>
      <c r="F130" s="29">
        <v>0</v>
      </c>
      <c r="G130" s="29"/>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26" t="s">
        <v>136</v>
      </c>
      <c r="C131" s="27" t="s">
        <v>136</v>
      </c>
      <c r="D131" s="30">
        <v>167</v>
      </c>
      <c r="E131" s="28">
        <v>29</v>
      </c>
      <c r="F131" s="29">
        <v>93.476550000000003</v>
      </c>
      <c r="G131" s="29"/>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26" t="s">
        <v>137</v>
      </c>
      <c r="C132" s="27" t="s">
        <v>137</v>
      </c>
      <c r="D132" s="28">
        <v>85</v>
      </c>
      <c r="E132" s="28">
        <v>13</v>
      </c>
      <c r="F132" s="29">
        <v>93.290090000000006</v>
      </c>
      <c r="G132" s="29"/>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26" t="s">
        <v>138</v>
      </c>
      <c r="C133" s="27" t="s">
        <v>138</v>
      </c>
      <c r="D133" s="28">
        <v>183</v>
      </c>
      <c r="E133" s="28">
        <v>91</v>
      </c>
      <c r="F133" s="29">
        <v>48.832340000000002</v>
      </c>
      <c r="G133" s="29"/>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31" t="s">
        <v>139</v>
      </c>
      <c r="C134" s="32" t="s">
        <v>139</v>
      </c>
      <c r="D134" s="33">
        <v>289</v>
      </c>
      <c r="E134" s="33">
        <v>55</v>
      </c>
      <c r="F134" s="39">
        <v>6.6104779999999996</v>
      </c>
      <c r="G134" s="39"/>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31" t="s">
        <v>140</v>
      </c>
      <c r="C135" s="32" t="s">
        <v>140</v>
      </c>
      <c r="D135" s="33">
        <v>48</v>
      </c>
      <c r="E135" s="33">
        <v>23</v>
      </c>
      <c r="F135" s="34">
        <v>100</v>
      </c>
      <c r="G135" s="34"/>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31" t="s">
        <v>141</v>
      </c>
      <c r="C136" s="32" t="s">
        <v>141</v>
      </c>
      <c r="D136" s="33">
        <v>83</v>
      </c>
      <c r="E136" s="33">
        <v>19</v>
      </c>
      <c r="F136" s="34">
        <v>0</v>
      </c>
      <c r="G136" s="34"/>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31" t="s">
        <v>142</v>
      </c>
      <c r="C137" s="32" t="s">
        <v>142</v>
      </c>
      <c r="D137" s="33">
        <v>707</v>
      </c>
      <c r="E137" s="33">
        <v>113</v>
      </c>
      <c r="F137" s="34">
        <v>0</v>
      </c>
      <c r="G137" s="34"/>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31" t="s">
        <v>143</v>
      </c>
      <c r="C138" s="36" t="s">
        <v>143</v>
      </c>
      <c r="D138" s="37">
        <v>3</v>
      </c>
      <c r="E138" s="37">
        <v>79</v>
      </c>
      <c r="F138" s="34">
        <v>96.470590000000001</v>
      </c>
      <c r="G138" s="34"/>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26" t="s">
        <v>144</v>
      </c>
      <c r="C139" s="27" t="s">
        <v>144</v>
      </c>
      <c r="D139" s="28">
        <v>282</v>
      </c>
      <c r="E139" s="28">
        <v>95</v>
      </c>
      <c r="F139" s="29">
        <v>41.033180000000002</v>
      </c>
      <c r="G139" s="29"/>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26" t="s">
        <v>145</v>
      </c>
      <c r="C140" s="27" t="s">
        <v>145</v>
      </c>
      <c r="D140" s="28">
        <v>168</v>
      </c>
      <c r="E140" s="28">
        <v>307</v>
      </c>
      <c r="F140" s="29">
        <v>45.533239999999999</v>
      </c>
      <c r="G140" s="29"/>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26" t="s">
        <v>146</v>
      </c>
      <c r="C141" s="27" t="s">
        <v>146</v>
      </c>
      <c r="D141" s="30">
        <v>166</v>
      </c>
      <c r="E141" s="28">
        <v>7</v>
      </c>
      <c r="F141" s="29">
        <v>50.815559999999998</v>
      </c>
      <c r="G141" s="29"/>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26" t="s">
        <v>147</v>
      </c>
      <c r="C142" s="27" t="s">
        <v>147</v>
      </c>
      <c r="D142" s="28">
        <v>101</v>
      </c>
      <c r="E142" s="28">
        <v>6</v>
      </c>
      <c r="F142" s="29">
        <v>89.135649999999998</v>
      </c>
      <c r="G142" s="29"/>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26" t="s">
        <v>148</v>
      </c>
      <c r="C143" s="27" t="s">
        <v>148</v>
      </c>
      <c r="D143" s="28">
        <v>3417</v>
      </c>
      <c r="E143" s="28">
        <v>116</v>
      </c>
      <c r="F143" s="29">
        <v>7.7545890000000002</v>
      </c>
      <c r="G143" s="29"/>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31" t="s">
        <v>149</v>
      </c>
      <c r="C144" s="32" t="s">
        <v>149</v>
      </c>
      <c r="D144" s="33">
        <v>15</v>
      </c>
      <c r="E144" s="33">
        <v>43</v>
      </c>
      <c r="F144" s="34">
        <v>0</v>
      </c>
      <c r="G144" s="34"/>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31" t="s">
        <v>150</v>
      </c>
      <c r="C145" s="32" t="s">
        <v>150</v>
      </c>
      <c r="D145" s="33">
        <v>66</v>
      </c>
      <c r="E145" s="33">
        <v>4</v>
      </c>
      <c r="F145" s="34">
        <v>64.768209999999996</v>
      </c>
      <c r="G145" s="34"/>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31" t="s">
        <v>151</v>
      </c>
      <c r="C146" s="32" t="s">
        <v>151</v>
      </c>
      <c r="D146" s="33">
        <v>31</v>
      </c>
      <c r="E146" s="33">
        <v>75</v>
      </c>
      <c r="F146" s="34">
        <v>1.4196979999999999</v>
      </c>
      <c r="G146" s="34"/>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31" t="s">
        <v>152</v>
      </c>
      <c r="C147" s="32" t="s">
        <v>152</v>
      </c>
      <c r="D147" s="33">
        <v>1</v>
      </c>
      <c r="E147" s="33">
        <v>28</v>
      </c>
      <c r="F147" s="34">
        <v>0</v>
      </c>
      <c r="G147" s="34"/>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31" t="s">
        <v>153</v>
      </c>
      <c r="C148" s="36" t="s">
        <v>153</v>
      </c>
      <c r="D148" s="37">
        <v>33</v>
      </c>
      <c r="E148" s="37">
        <v>84</v>
      </c>
      <c r="F148" s="34">
        <v>2.60771</v>
      </c>
      <c r="G148" s="34"/>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26" t="s">
        <v>154</v>
      </c>
      <c r="C149" s="27" t="s">
        <v>154</v>
      </c>
      <c r="D149" s="28">
        <v>51</v>
      </c>
      <c r="E149" s="28">
        <v>13</v>
      </c>
      <c r="F149" s="29">
        <v>0</v>
      </c>
      <c r="G149" s="29"/>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26" t="s">
        <v>155</v>
      </c>
      <c r="C150" s="27" t="s">
        <v>155</v>
      </c>
      <c r="D150" s="28">
        <v>58</v>
      </c>
      <c r="E150" s="28">
        <v>46</v>
      </c>
      <c r="F150" s="29">
        <v>3.5318559999999999</v>
      </c>
      <c r="G150" s="29"/>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26" t="s">
        <v>156</v>
      </c>
      <c r="C151" s="27" t="s">
        <v>156</v>
      </c>
      <c r="D151" s="30">
        <v>7944</v>
      </c>
      <c r="E151" s="28">
        <v>64</v>
      </c>
      <c r="F151" s="29">
        <v>12.913399999999999</v>
      </c>
      <c r="G151" s="29"/>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26" t="s">
        <v>157</v>
      </c>
      <c r="C152" s="27" t="s">
        <v>157</v>
      </c>
      <c r="D152" s="28">
        <v>2</v>
      </c>
      <c r="E152" s="28">
        <v>21</v>
      </c>
      <c r="F152" s="29">
        <v>2.941176</v>
      </c>
      <c r="G152" s="29"/>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26" t="s">
        <v>158</v>
      </c>
      <c r="C153" s="27" t="s">
        <v>158</v>
      </c>
      <c r="D153" s="28">
        <v>475</v>
      </c>
      <c r="E153" s="28">
        <v>166</v>
      </c>
      <c r="F153" s="29">
        <v>0</v>
      </c>
      <c r="G153" s="29"/>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31" t="s">
        <v>159</v>
      </c>
      <c r="C154" s="32" t="s">
        <v>159</v>
      </c>
      <c r="D154" s="33">
        <v>42</v>
      </c>
      <c r="E154" s="33">
        <v>67</v>
      </c>
      <c r="F154" s="34">
        <v>65.581519999999998</v>
      </c>
      <c r="G154" s="34"/>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31" t="s">
        <v>160</v>
      </c>
      <c r="C155" s="32" t="s">
        <v>160</v>
      </c>
      <c r="D155" s="33">
        <v>1</v>
      </c>
      <c r="E155" s="33">
        <v>153</v>
      </c>
      <c r="F155" s="34">
        <v>0</v>
      </c>
      <c r="G155" s="34"/>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31" t="s">
        <v>161</v>
      </c>
      <c r="C156" s="32" t="s">
        <v>161</v>
      </c>
      <c r="D156" s="33">
        <v>796</v>
      </c>
      <c r="E156" s="33">
        <v>23</v>
      </c>
      <c r="F156" s="34">
        <v>15.8918</v>
      </c>
      <c r="G156" s="34"/>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31" t="s">
        <v>162</v>
      </c>
      <c r="C157" s="32" t="s">
        <v>162</v>
      </c>
      <c r="D157" s="33">
        <v>469</v>
      </c>
      <c r="E157" s="33">
        <v>18</v>
      </c>
      <c r="F157" s="34">
        <v>94.630870000000002</v>
      </c>
      <c r="G157" s="34"/>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31" t="s">
        <v>163</v>
      </c>
      <c r="C158" s="36" t="s">
        <v>163</v>
      </c>
      <c r="D158" s="37">
        <v>682</v>
      </c>
      <c r="E158" s="37">
        <v>13</v>
      </c>
      <c r="F158" s="34">
        <v>72.04213</v>
      </c>
      <c r="G158" s="34"/>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26" t="s">
        <v>164</v>
      </c>
      <c r="C159" s="27" t="s">
        <v>164</v>
      </c>
      <c r="D159" s="28">
        <v>63</v>
      </c>
      <c r="E159" s="28">
        <v>27</v>
      </c>
      <c r="F159" s="29">
        <v>95.794390000000007</v>
      </c>
      <c r="G159" s="29"/>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26" t="s">
        <v>165</v>
      </c>
      <c r="C160" s="27" t="s">
        <v>165</v>
      </c>
      <c r="D160" s="28">
        <v>1</v>
      </c>
      <c r="E160" s="28">
        <v>60</v>
      </c>
      <c r="F160" s="29">
        <v>0</v>
      </c>
      <c r="G160" s="29"/>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26" t="s">
        <v>166</v>
      </c>
      <c r="C161" s="27" t="s">
        <v>166</v>
      </c>
      <c r="D161" s="30">
        <v>458</v>
      </c>
      <c r="E161" s="28">
        <v>16</v>
      </c>
      <c r="F161" s="29">
        <v>99.680509999999998</v>
      </c>
      <c r="G161" s="29"/>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26" t="s">
        <v>167</v>
      </c>
      <c r="C162" s="27" t="s">
        <v>168</v>
      </c>
      <c r="D162" s="28">
        <v>3199</v>
      </c>
      <c r="E162" s="28">
        <v>190</v>
      </c>
      <c r="F162" s="29">
        <v>6.3246589999999996</v>
      </c>
      <c r="G162" s="29"/>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26" t="s">
        <v>169</v>
      </c>
      <c r="C163" s="27" t="s">
        <v>169</v>
      </c>
      <c r="D163" s="28">
        <v>51</v>
      </c>
      <c r="E163" s="28">
        <v>200</v>
      </c>
      <c r="F163" s="29">
        <v>20.430969999999999</v>
      </c>
      <c r="G163" s="29"/>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31" t="s">
        <v>170</v>
      </c>
      <c r="C164" s="32" t="s">
        <v>170</v>
      </c>
      <c r="D164" s="33">
        <v>876</v>
      </c>
      <c r="E164" s="33">
        <v>196</v>
      </c>
      <c r="F164" s="34">
        <v>72.873130000000003</v>
      </c>
      <c r="G164" s="34"/>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31" t="s">
        <v>171</v>
      </c>
      <c r="C165" s="32" t="s">
        <v>171</v>
      </c>
      <c r="D165" s="33">
        <v>149</v>
      </c>
      <c r="E165" s="33">
        <v>25</v>
      </c>
      <c r="F165" s="34">
        <v>40.763869999999997</v>
      </c>
      <c r="G165" s="34"/>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31" t="s">
        <v>172</v>
      </c>
      <c r="C166" s="32" t="s">
        <v>172</v>
      </c>
      <c r="D166" s="33">
        <v>87</v>
      </c>
      <c r="E166" s="33">
        <v>5</v>
      </c>
      <c r="F166" s="34">
        <v>0</v>
      </c>
      <c r="G166" s="34"/>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31" t="s">
        <v>173</v>
      </c>
      <c r="C167" s="32" t="s">
        <v>173</v>
      </c>
      <c r="D167" s="33">
        <v>5589</v>
      </c>
      <c r="E167" s="33">
        <v>32</v>
      </c>
      <c r="F167" s="34">
        <v>18.390250000000002</v>
      </c>
      <c r="G167" s="34"/>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31" t="s">
        <v>174</v>
      </c>
      <c r="C168" s="36" t="s">
        <v>174</v>
      </c>
      <c r="D168" s="37">
        <v>0</v>
      </c>
      <c r="E168" s="37">
        <v>65</v>
      </c>
      <c r="F168" s="34">
        <v>0</v>
      </c>
      <c r="G168" s="34"/>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26" t="s">
        <v>175</v>
      </c>
      <c r="C169" s="27" t="s">
        <v>175</v>
      </c>
      <c r="D169" s="28" t="s">
        <v>17</v>
      </c>
      <c r="E169" s="28" t="s">
        <v>17</v>
      </c>
      <c r="F169" s="29">
        <v>0</v>
      </c>
      <c r="G169" s="29"/>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26" t="s">
        <v>176</v>
      </c>
      <c r="C170" s="27" t="s">
        <v>176</v>
      </c>
      <c r="D170" s="28">
        <v>1388</v>
      </c>
      <c r="E170" s="28">
        <v>273</v>
      </c>
      <c r="F170" s="29">
        <v>97.635580000000004</v>
      </c>
      <c r="G170" s="29"/>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26" t="s">
        <v>177</v>
      </c>
      <c r="C171" s="27" t="s">
        <v>177</v>
      </c>
      <c r="D171" s="30">
        <v>1015</v>
      </c>
      <c r="E171" s="28">
        <v>260</v>
      </c>
      <c r="F171" s="29">
        <v>0</v>
      </c>
      <c r="G171" s="29"/>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26" t="s">
        <v>178</v>
      </c>
      <c r="C172" s="27" t="s">
        <v>178</v>
      </c>
      <c r="D172" s="28">
        <v>2868</v>
      </c>
      <c r="E172" s="28">
        <v>16</v>
      </c>
      <c r="F172" s="29">
        <v>31.876840000000001</v>
      </c>
      <c r="G172" s="29"/>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26" t="s">
        <v>179</v>
      </c>
      <c r="C173" s="27" t="s">
        <v>179</v>
      </c>
      <c r="D173" s="28">
        <v>3</v>
      </c>
      <c r="E173" s="28">
        <v>152</v>
      </c>
      <c r="F173" s="29">
        <v>18.75</v>
      </c>
      <c r="G173" s="29"/>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31" t="s">
        <v>180</v>
      </c>
      <c r="C174" s="32" t="s">
        <v>180</v>
      </c>
      <c r="D174" s="33">
        <v>158</v>
      </c>
      <c r="E174" s="33">
        <v>42</v>
      </c>
      <c r="F174" s="34">
        <v>57.509480000000003</v>
      </c>
      <c r="G174" s="34"/>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31" t="s">
        <v>181</v>
      </c>
      <c r="C175" s="32" t="s">
        <v>181</v>
      </c>
      <c r="D175" s="33">
        <v>144</v>
      </c>
      <c r="E175" s="33">
        <v>20</v>
      </c>
      <c r="F175" s="34">
        <v>23.946359999999999</v>
      </c>
      <c r="G175" s="34"/>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31" t="s">
        <v>182</v>
      </c>
      <c r="C176" s="32" t="s">
        <v>182</v>
      </c>
      <c r="D176" s="33">
        <v>228</v>
      </c>
      <c r="E176" s="33">
        <v>35</v>
      </c>
      <c r="F176" s="34">
        <v>99.99503</v>
      </c>
      <c r="G176" s="34"/>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31" t="s">
        <v>183</v>
      </c>
      <c r="C177" s="32" t="s">
        <v>183</v>
      </c>
      <c r="D177" s="33">
        <v>858</v>
      </c>
      <c r="E177" s="33">
        <v>28</v>
      </c>
      <c r="F177" s="34">
        <v>51.968609999999998</v>
      </c>
      <c r="G177" s="34"/>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31" t="s">
        <v>184</v>
      </c>
      <c r="C178" s="36" t="s">
        <v>184</v>
      </c>
      <c r="D178" s="37">
        <v>1781</v>
      </c>
      <c r="E178" s="37">
        <v>18</v>
      </c>
      <c r="F178" s="34">
        <v>26.172640000000001</v>
      </c>
      <c r="G178" s="34"/>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26" t="s">
        <v>185</v>
      </c>
      <c r="C179" s="27" t="s">
        <v>185</v>
      </c>
      <c r="D179" s="28">
        <v>4121</v>
      </c>
      <c r="E179" s="28">
        <v>107</v>
      </c>
      <c r="F179" s="29">
        <v>5.5378990000000003</v>
      </c>
      <c r="G179" s="29"/>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26" t="s">
        <v>186</v>
      </c>
      <c r="C180" s="27" t="s">
        <v>187</v>
      </c>
      <c r="D180" s="28">
        <v>899</v>
      </c>
      <c r="E180" s="28">
        <v>86</v>
      </c>
      <c r="F180" s="29">
        <v>53.340299999999999</v>
      </c>
      <c r="G180" s="29"/>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26" t="s">
        <v>188</v>
      </c>
      <c r="C181" s="27" t="s">
        <v>188</v>
      </c>
      <c r="D181" s="30">
        <v>56</v>
      </c>
      <c r="E181" s="28">
        <v>15</v>
      </c>
      <c r="F181" s="29">
        <v>1.080808</v>
      </c>
      <c r="G181" s="29"/>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26" t="s">
        <v>189</v>
      </c>
      <c r="C182" s="27" t="s">
        <v>189</v>
      </c>
      <c r="D182" s="28">
        <v>1396</v>
      </c>
      <c r="E182" s="28">
        <v>664</v>
      </c>
      <c r="F182" s="29">
        <v>0</v>
      </c>
      <c r="G182" s="29"/>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26" t="s">
        <v>190</v>
      </c>
      <c r="C183" s="27" t="s">
        <v>190</v>
      </c>
      <c r="D183" s="28">
        <v>11007</v>
      </c>
      <c r="E183" s="28">
        <v>221</v>
      </c>
      <c r="F183" s="29">
        <v>2.279353</v>
      </c>
      <c r="G183" s="29"/>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31" t="s">
        <v>191</v>
      </c>
      <c r="C184" s="32" t="s">
        <v>191</v>
      </c>
      <c r="D184" s="33">
        <v>93</v>
      </c>
      <c r="E184" s="33">
        <v>23</v>
      </c>
      <c r="F184" s="34">
        <v>5.0828730000000002</v>
      </c>
      <c r="G184" s="34"/>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31" t="s">
        <v>192</v>
      </c>
      <c r="C185" s="32" t="s">
        <v>192</v>
      </c>
      <c r="D185" s="33">
        <v>59</v>
      </c>
      <c r="E185" s="33">
        <v>70</v>
      </c>
      <c r="F185" s="34">
        <v>28.297190000000001</v>
      </c>
      <c r="G185" s="34"/>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31" t="s">
        <v>193</v>
      </c>
      <c r="C186" s="32" t="s">
        <v>193</v>
      </c>
      <c r="D186" s="33">
        <v>1339</v>
      </c>
      <c r="E186" s="33">
        <v>68</v>
      </c>
      <c r="F186" s="34">
        <v>34.384500000000003</v>
      </c>
      <c r="G186" s="34"/>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31" t="s">
        <v>194</v>
      </c>
      <c r="C187" s="32" t="s">
        <v>194</v>
      </c>
      <c r="D187" s="33">
        <v>30709</v>
      </c>
      <c r="E187" s="33">
        <v>214</v>
      </c>
      <c r="F187" s="34">
        <v>17.288679999999999</v>
      </c>
      <c r="G187" s="34"/>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31" t="s">
        <v>195</v>
      </c>
      <c r="C188" s="36" t="s">
        <v>195</v>
      </c>
      <c r="D188" s="37">
        <v>95</v>
      </c>
      <c r="E188" s="37">
        <v>9</v>
      </c>
      <c r="F188" s="34">
        <v>35.835349999999998</v>
      </c>
      <c r="G188" s="34"/>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26" t="s">
        <v>196</v>
      </c>
      <c r="C189" s="27" t="s">
        <v>196</v>
      </c>
      <c r="D189" s="28">
        <v>0</v>
      </c>
      <c r="E189" s="28">
        <v>40</v>
      </c>
      <c r="F189" s="29">
        <v>9.0909089999999999</v>
      </c>
      <c r="G189" s="29"/>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26" t="s">
        <v>197</v>
      </c>
      <c r="C190" s="27" t="s">
        <v>197</v>
      </c>
      <c r="D190" s="28">
        <v>4</v>
      </c>
      <c r="E190" s="28">
        <v>73</v>
      </c>
      <c r="F190" s="29">
        <v>0</v>
      </c>
      <c r="G190" s="29"/>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26" t="s">
        <v>198</v>
      </c>
      <c r="C191" s="27" t="s">
        <v>198</v>
      </c>
      <c r="D191" s="30">
        <v>6</v>
      </c>
      <c r="E191" s="28">
        <v>33</v>
      </c>
      <c r="F191" s="29">
        <v>0</v>
      </c>
      <c r="G191" s="29"/>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26" t="s">
        <v>199</v>
      </c>
      <c r="C192" s="27" t="s">
        <v>199</v>
      </c>
      <c r="D192" s="28">
        <v>1</v>
      </c>
      <c r="E192" s="28">
        <v>162</v>
      </c>
      <c r="F192" s="29">
        <v>2.1276600000000001</v>
      </c>
      <c r="G192" s="29"/>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26" t="s">
        <v>200</v>
      </c>
      <c r="C193" s="27" t="s">
        <v>200</v>
      </c>
      <c r="D193" s="28">
        <v>3</v>
      </c>
      <c r="E193" s="40">
        <v>28</v>
      </c>
      <c r="F193" s="29">
        <v>16.66667</v>
      </c>
      <c r="G193" s="29"/>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31" t="s">
        <v>201</v>
      </c>
      <c r="C194" s="32" t="s">
        <v>201</v>
      </c>
      <c r="D194" s="33">
        <v>4</v>
      </c>
      <c r="E194" s="33">
        <v>22</v>
      </c>
      <c r="F194" s="34">
        <v>31.355930000000001</v>
      </c>
      <c r="G194" s="34"/>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31" t="s">
        <v>202</v>
      </c>
      <c r="C195" s="32" t="s">
        <v>202</v>
      </c>
      <c r="D195" s="33">
        <v>3</v>
      </c>
      <c r="E195" s="33">
        <v>14</v>
      </c>
      <c r="F195" s="34">
        <v>10.447760000000001</v>
      </c>
      <c r="G195" s="34"/>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31" t="s">
        <v>203</v>
      </c>
      <c r="C196" s="32" t="s">
        <v>204</v>
      </c>
      <c r="D196" s="33">
        <v>7985</v>
      </c>
      <c r="E196" s="33">
        <v>264</v>
      </c>
      <c r="F196" s="34">
        <v>3.5199999999999999E-4</v>
      </c>
      <c r="G196" s="34"/>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31" t="s">
        <v>205</v>
      </c>
      <c r="C197" s="32" t="s">
        <v>205</v>
      </c>
      <c r="D197" s="33">
        <v>154</v>
      </c>
      <c r="E197" s="33">
        <v>11</v>
      </c>
      <c r="F197" s="34">
        <v>1.998237</v>
      </c>
      <c r="G197" s="34"/>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31" t="s">
        <v>206</v>
      </c>
      <c r="C198" s="36" t="s">
        <v>207</v>
      </c>
      <c r="D198" s="37">
        <v>618</v>
      </c>
      <c r="E198" s="37">
        <v>69</v>
      </c>
      <c r="F198" s="34">
        <v>27.216190000000001</v>
      </c>
      <c r="G198" s="34"/>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26" t="s">
        <v>208</v>
      </c>
      <c r="C199" s="27" t="s">
        <v>208</v>
      </c>
      <c r="D199" s="28">
        <v>9</v>
      </c>
      <c r="E199" s="28">
        <v>94</v>
      </c>
      <c r="F199" s="29">
        <v>1.977401</v>
      </c>
      <c r="G199" s="29"/>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26" t="s">
        <v>209</v>
      </c>
      <c r="C200" s="27" t="s">
        <v>209</v>
      </c>
      <c r="D200" s="28">
        <v>67</v>
      </c>
      <c r="E200" s="28">
        <v>11</v>
      </c>
      <c r="F200" s="29">
        <v>64.024389999999997</v>
      </c>
      <c r="G200" s="29"/>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26" t="s">
        <v>210</v>
      </c>
      <c r="C201" s="27" t="s">
        <v>210</v>
      </c>
      <c r="D201" s="30">
        <v>1120</v>
      </c>
      <c r="E201" s="28">
        <v>207</v>
      </c>
      <c r="F201" s="29">
        <v>0</v>
      </c>
      <c r="G201" s="29"/>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26" t="s">
        <v>211</v>
      </c>
      <c r="C202" s="27" t="s">
        <v>211</v>
      </c>
      <c r="D202" s="28">
        <v>12</v>
      </c>
      <c r="E202" s="28">
        <v>327</v>
      </c>
      <c r="F202" s="29">
        <v>0</v>
      </c>
      <c r="G202" s="29"/>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26" t="s">
        <v>212</v>
      </c>
      <c r="C203" s="27" t="s">
        <v>212</v>
      </c>
      <c r="D203" s="28">
        <v>711</v>
      </c>
      <c r="E203" s="28">
        <v>131</v>
      </c>
      <c r="F203" s="29">
        <v>20.217120000000001</v>
      </c>
      <c r="G203" s="29"/>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31" t="s">
        <v>213</v>
      </c>
      <c r="C204" s="32" t="s">
        <v>213</v>
      </c>
      <c r="D204" s="33">
        <v>287</v>
      </c>
      <c r="E204" s="33">
        <v>139</v>
      </c>
      <c r="F204" s="34">
        <v>31.864239999999999</v>
      </c>
      <c r="G204" s="34"/>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31" t="s">
        <v>214</v>
      </c>
      <c r="C205" s="32" t="s">
        <v>214</v>
      </c>
      <c r="D205" s="33">
        <v>6</v>
      </c>
      <c r="E205" s="33">
        <v>11</v>
      </c>
      <c r="F205" s="34">
        <v>0</v>
      </c>
      <c r="G205" s="34"/>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31" t="s">
        <v>215</v>
      </c>
      <c r="C206" s="32" t="s">
        <v>215</v>
      </c>
      <c r="D206" s="33">
        <v>126</v>
      </c>
      <c r="E206" s="33">
        <v>12</v>
      </c>
      <c r="F206" s="34">
        <v>0</v>
      </c>
      <c r="G206" s="34"/>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31" t="s">
        <v>216</v>
      </c>
      <c r="C207" s="32" t="s">
        <v>216</v>
      </c>
      <c r="D207" s="33">
        <v>6341</v>
      </c>
      <c r="E207" s="33">
        <v>119</v>
      </c>
      <c r="F207" s="34">
        <v>1.687019</v>
      </c>
      <c r="G207" s="34"/>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31" t="s">
        <v>217</v>
      </c>
      <c r="C208" s="36" t="s">
        <v>217</v>
      </c>
      <c r="D208" s="37">
        <v>28</v>
      </c>
      <c r="E208" s="37">
        <v>2</v>
      </c>
      <c r="F208" s="34">
        <v>0.42372900000000002</v>
      </c>
      <c r="G208" s="34"/>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26" t="s">
        <v>218</v>
      </c>
      <c r="C209" s="27" t="s">
        <v>219</v>
      </c>
      <c r="D209" s="28">
        <v>4923</v>
      </c>
      <c r="E209" s="28">
        <v>106</v>
      </c>
      <c r="F209" s="29">
        <v>37.968589999999999</v>
      </c>
      <c r="G209" s="29"/>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26" t="s">
        <v>220</v>
      </c>
      <c r="C210" s="27" t="s">
        <v>220</v>
      </c>
      <c r="D210" s="30">
        <v>388</v>
      </c>
      <c r="E210" s="28">
        <v>19</v>
      </c>
      <c r="F210" s="29">
        <v>59.573230000000002</v>
      </c>
      <c r="G210" s="29"/>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26" t="s">
        <v>221</v>
      </c>
      <c r="C211" s="27" t="s">
        <v>221</v>
      </c>
      <c r="D211" s="28">
        <v>61</v>
      </c>
      <c r="E211" s="28">
        <v>14</v>
      </c>
      <c r="F211" s="29">
        <v>0</v>
      </c>
      <c r="G211" s="29"/>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26" t="s">
        <v>222</v>
      </c>
      <c r="C212" s="27" t="s">
        <v>222</v>
      </c>
      <c r="D212" s="28">
        <v>608</v>
      </c>
      <c r="E212" s="28">
        <v>16</v>
      </c>
      <c r="F212" s="29">
        <v>78.410480000000007</v>
      </c>
      <c r="G212" s="29"/>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26" t="s">
        <v>223</v>
      </c>
      <c r="C213" s="27" t="s">
        <v>223</v>
      </c>
      <c r="D213" s="28">
        <v>34</v>
      </c>
      <c r="E213" s="28">
        <v>65</v>
      </c>
      <c r="F213" s="29">
        <v>22.023810000000001</v>
      </c>
      <c r="G213" s="29"/>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31" t="s">
        <v>224</v>
      </c>
      <c r="C214" s="32" t="s">
        <v>224</v>
      </c>
      <c r="D214" s="33">
        <v>49</v>
      </c>
      <c r="E214" s="33">
        <v>39</v>
      </c>
      <c r="F214" s="34">
        <v>40.677970000000002</v>
      </c>
      <c r="G214" s="34"/>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31" t="s">
        <v>225</v>
      </c>
      <c r="C215" s="32" t="s">
        <v>225</v>
      </c>
      <c r="D215" s="33">
        <v>2044</v>
      </c>
      <c r="E215" s="33">
        <v>212</v>
      </c>
      <c r="F215" s="34">
        <v>46.598460000000003</v>
      </c>
      <c r="G215" s="34"/>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31" t="s">
        <v>226</v>
      </c>
      <c r="C216" s="32" t="s">
        <v>227</v>
      </c>
      <c r="D216" s="33">
        <v>1113</v>
      </c>
      <c r="E216" s="33">
        <v>136</v>
      </c>
      <c r="F216" s="34">
        <v>57.745480000000001</v>
      </c>
      <c r="G216" s="34"/>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31" t="s">
        <v>228</v>
      </c>
      <c r="C217" s="36" t="s">
        <v>228</v>
      </c>
      <c r="D217" s="37">
        <v>542</v>
      </c>
      <c r="E217" s="37">
        <v>28</v>
      </c>
      <c r="F217" s="34">
        <v>11.56827</v>
      </c>
      <c r="G217" s="34"/>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31" t="s">
        <v>229</v>
      </c>
      <c r="C218" s="36" t="s">
        <v>229</v>
      </c>
      <c r="D218" s="37">
        <v>106</v>
      </c>
      <c r="E218" s="37">
        <v>13</v>
      </c>
      <c r="F218" s="34">
        <v>99.742919999999998</v>
      </c>
      <c r="G218" s="34"/>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26" t="s">
        <v>230</v>
      </c>
      <c r="C219" s="27" t="s">
        <v>230</v>
      </c>
      <c r="D219" s="28">
        <v>5336</v>
      </c>
      <c r="E219" s="28">
        <v>79</v>
      </c>
      <c r="F219" s="29">
        <v>4.3051890000000004</v>
      </c>
      <c r="G219" s="29"/>
      <c r="H219" s="1"/>
      <c r="I219" s="1"/>
      <c r="J219" s="1"/>
      <c r="K219" s="1"/>
      <c r="L219" s="1"/>
      <c r="M219" s="1"/>
      <c r="N219" s="1"/>
      <c r="O219" s="1"/>
      <c r="P219" s="1"/>
      <c r="Q219" s="1"/>
      <c r="R219" s="1"/>
      <c r="S219" s="1"/>
      <c r="T219" s="1"/>
      <c r="U219" s="1"/>
      <c r="V219" s="1"/>
      <c r="W219" s="1"/>
      <c r="X219" s="1"/>
      <c r="Y219" s="1"/>
      <c r="Z219" s="1"/>
    </row>
    <row r="220" spans="1:26" ht="22.5" customHeight="1" x14ac:dyDescent="0.25">
      <c r="A220" s="1"/>
      <c r="B220" s="26" t="s">
        <v>231</v>
      </c>
      <c r="C220" s="27" t="s">
        <v>231</v>
      </c>
      <c r="D220" s="30">
        <v>117</v>
      </c>
      <c r="E220" s="28">
        <v>56</v>
      </c>
      <c r="F220" s="29">
        <v>26.140470000000001</v>
      </c>
      <c r="G220" s="29"/>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26" t="s">
        <v>232</v>
      </c>
      <c r="C221" s="27" t="s">
        <v>232</v>
      </c>
      <c r="D221" s="28">
        <v>7</v>
      </c>
      <c r="E221" s="28">
        <v>6</v>
      </c>
      <c r="F221" s="29">
        <v>0</v>
      </c>
      <c r="G221" s="29"/>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26" t="s">
        <v>233</v>
      </c>
      <c r="C222" s="27" t="s">
        <v>233</v>
      </c>
      <c r="D222" s="28">
        <v>134</v>
      </c>
      <c r="E222" s="28">
        <v>19</v>
      </c>
      <c r="F222" s="29">
        <v>80.180179999999993</v>
      </c>
      <c r="G222" s="29"/>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26" t="s">
        <v>234</v>
      </c>
      <c r="C223" s="27" t="s">
        <v>234</v>
      </c>
      <c r="D223" s="28">
        <v>3</v>
      </c>
      <c r="E223" s="28">
        <v>28</v>
      </c>
      <c r="F223" s="29">
        <v>0</v>
      </c>
      <c r="G223" s="29"/>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31" t="s">
        <v>235</v>
      </c>
      <c r="C224" s="32" t="s">
        <v>235</v>
      </c>
      <c r="D224" s="33">
        <v>824</v>
      </c>
      <c r="E224" s="33">
        <v>611</v>
      </c>
      <c r="F224" s="34">
        <v>0</v>
      </c>
      <c r="G224" s="34"/>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31" t="s">
        <v>236</v>
      </c>
      <c r="C225" s="32" t="s">
        <v>236</v>
      </c>
      <c r="D225" s="41">
        <v>430</v>
      </c>
      <c r="E225" s="33">
        <v>39</v>
      </c>
      <c r="F225" s="34">
        <v>3.4925470000000001</v>
      </c>
      <c r="G225" s="34"/>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31" t="s">
        <v>237</v>
      </c>
      <c r="C226" s="32" t="s">
        <v>237</v>
      </c>
      <c r="D226" s="33">
        <v>4897</v>
      </c>
      <c r="E226" s="33">
        <v>64</v>
      </c>
      <c r="F226" s="34">
        <v>28.53669</v>
      </c>
      <c r="G226" s="34"/>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31" t="s">
        <v>238</v>
      </c>
      <c r="C227" s="36" t="s">
        <v>238</v>
      </c>
      <c r="D227" s="37">
        <v>1102</v>
      </c>
      <c r="E227" s="37">
        <v>210</v>
      </c>
      <c r="F227" s="34">
        <v>0</v>
      </c>
      <c r="G227" s="34"/>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31" t="s">
        <v>239</v>
      </c>
      <c r="C228" s="36" t="s">
        <v>239</v>
      </c>
      <c r="D228" s="37">
        <v>3</v>
      </c>
      <c r="E228" s="37">
        <v>85</v>
      </c>
      <c r="F228" s="34">
        <v>0</v>
      </c>
      <c r="G228" s="34"/>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26" t="s">
        <v>240</v>
      </c>
      <c r="C229" s="27" t="s">
        <v>240</v>
      </c>
      <c r="D229" s="28" t="s">
        <v>17</v>
      </c>
      <c r="E229" s="28" t="s">
        <v>17</v>
      </c>
      <c r="F229" s="29">
        <v>0</v>
      </c>
      <c r="G229" s="29"/>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26" t="s">
        <v>241</v>
      </c>
      <c r="C230" s="27" t="s">
        <v>241</v>
      </c>
      <c r="D230" s="30">
        <v>452</v>
      </c>
      <c r="E230" s="28">
        <v>12</v>
      </c>
      <c r="F230" s="29">
        <v>68.018180000000001</v>
      </c>
      <c r="G230" s="29"/>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26" t="s">
        <v>242</v>
      </c>
      <c r="C231" s="27" t="s">
        <v>243</v>
      </c>
      <c r="D231" s="28">
        <v>4844</v>
      </c>
      <c r="E231" s="28">
        <v>107</v>
      </c>
      <c r="F231" s="29">
        <v>8.0673119999999994</v>
      </c>
      <c r="G231" s="29"/>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26" t="s">
        <v>244</v>
      </c>
      <c r="C232" s="27" t="s">
        <v>244</v>
      </c>
      <c r="D232" s="28">
        <v>2710</v>
      </c>
      <c r="E232" s="28">
        <v>300</v>
      </c>
      <c r="F232" s="29">
        <v>0</v>
      </c>
      <c r="G232" s="29"/>
      <c r="H232" s="1"/>
      <c r="I232" s="1"/>
      <c r="J232" s="1"/>
      <c r="K232" s="1"/>
      <c r="L232" s="1"/>
      <c r="M232" s="1"/>
      <c r="N232" s="1"/>
      <c r="O232" s="1"/>
      <c r="P232" s="1"/>
      <c r="Q232" s="1"/>
      <c r="R232" s="1"/>
      <c r="S232" s="1"/>
      <c r="T232" s="1"/>
      <c r="U232" s="1"/>
      <c r="V232" s="1"/>
      <c r="W232" s="1"/>
      <c r="X232" s="1"/>
      <c r="Y232" s="1"/>
      <c r="Z232" s="1"/>
    </row>
    <row r="233" spans="1:26" ht="22.5" customHeight="1" x14ac:dyDescent="0.25">
      <c r="A233" s="1"/>
      <c r="B233" s="26" t="s">
        <v>245</v>
      </c>
      <c r="C233" s="27" t="s">
        <v>246</v>
      </c>
      <c r="D233" s="28">
        <v>7920</v>
      </c>
      <c r="E233" s="28">
        <v>124</v>
      </c>
      <c r="F233" s="29">
        <v>10.60047</v>
      </c>
      <c r="G233" s="29"/>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31" t="s">
        <v>247</v>
      </c>
      <c r="C234" s="36" t="s">
        <v>247</v>
      </c>
      <c r="D234" s="37">
        <v>994</v>
      </c>
      <c r="E234" s="37">
        <v>20</v>
      </c>
      <c r="F234" s="39">
        <v>31.072839999999999</v>
      </c>
      <c r="G234" s="39"/>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31" t="s">
        <v>248</v>
      </c>
      <c r="C235" s="36" t="s">
        <v>249</v>
      </c>
      <c r="D235" s="37">
        <v>90838</v>
      </c>
      <c r="E235" s="37">
        <v>286</v>
      </c>
      <c r="F235" s="34">
        <v>11.57098</v>
      </c>
      <c r="G235" s="34"/>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31" t="s">
        <v>250</v>
      </c>
      <c r="C236" s="36" t="s">
        <v>250</v>
      </c>
      <c r="D236" s="37" t="s">
        <v>17</v>
      </c>
      <c r="E236" s="37" t="s">
        <v>17</v>
      </c>
      <c r="F236" s="34">
        <v>0</v>
      </c>
      <c r="G236" s="34"/>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31" t="s">
        <v>251</v>
      </c>
      <c r="C237" s="36" t="s">
        <v>251</v>
      </c>
      <c r="D237" s="37">
        <v>196</v>
      </c>
      <c r="E237" s="37">
        <v>58</v>
      </c>
      <c r="F237" s="34">
        <v>71.605040000000002</v>
      </c>
      <c r="G237" s="34"/>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31" t="s">
        <v>252</v>
      </c>
      <c r="C238" s="36" t="s">
        <v>252</v>
      </c>
      <c r="D238" s="37">
        <v>1798</v>
      </c>
      <c r="E238" s="37">
        <v>62</v>
      </c>
      <c r="F238" s="34">
        <v>21.328410000000002</v>
      </c>
      <c r="G238" s="34"/>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26" t="s">
        <v>253</v>
      </c>
      <c r="C239" s="27" t="s">
        <v>253</v>
      </c>
      <c r="D239" s="28">
        <v>3</v>
      </c>
      <c r="E239" s="28">
        <v>10</v>
      </c>
      <c r="F239" s="29">
        <v>14.705880000000001</v>
      </c>
      <c r="G239" s="29"/>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26" t="s">
        <v>254</v>
      </c>
      <c r="C240" s="27" t="s">
        <v>254</v>
      </c>
      <c r="D240" s="28">
        <v>2871</v>
      </c>
      <c r="E240" s="28">
        <v>95</v>
      </c>
      <c r="F240" s="29">
        <v>67.834519999999998</v>
      </c>
      <c r="G240" s="29"/>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26" t="s">
        <v>255</v>
      </c>
      <c r="C241" s="27" t="s">
        <v>255</v>
      </c>
      <c r="D241" s="28">
        <v>2554</v>
      </c>
      <c r="E241" s="28">
        <v>28</v>
      </c>
      <c r="F241" s="29">
        <v>45.32152</v>
      </c>
      <c r="G241" s="29"/>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26" t="s">
        <v>256</v>
      </c>
      <c r="C242" s="27" t="s">
        <v>256</v>
      </c>
      <c r="D242" s="28">
        <v>0</v>
      </c>
      <c r="E242" s="28">
        <v>26</v>
      </c>
      <c r="F242" s="29">
        <v>0</v>
      </c>
      <c r="G242" s="29"/>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26" t="s">
        <v>257</v>
      </c>
      <c r="C243" s="27" t="s">
        <v>257</v>
      </c>
      <c r="D243" s="28">
        <v>344</v>
      </c>
      <c r="E243" s="28">
        <v>13</v>
      </c>
      <c r="F243" s="29">
        <v>0</v>
      </c>
      <c r="G243" s="29"/>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31" t="s">
        <v>258</v>
      </c>
      <c r="C244" s="32" t="s">
        <v>258</v>
      </c>
      <c r="D244" s="33">
        <v>400</v>
      </c>
      <c r="E244" s="33">
        <v>26</v>
      </c>
      <c r="F244" s="34">
        <v>99.714669999999998</v>
      </c>
      <c r="G244" s="34"/>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31" t="s">
        <v>259</v>
      </c>
      <c r="C245" s="32" t="s">
        <v>259</v>
      </c>
      <c r="D245" s="41">
        <v>480</v>
      </c>
      <c r="E245" s="33">
        <v>32</v>
      </c>
      <c r="F245" s="34">
        <v>52.536119999999997</v>
      </c>
      <c r="G245" s="34"/>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24"/>
      <c r="B246" s="24"/>
      <c r="C246" s="42"/>
      <c r="D246" s="43"/>
      <c r="E246" s="43"/>
      <c r="F246" s="44"/>
      <c r="G246" s="45"/>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32"/>
      <c r="D247" s="33"/>
      <c r="E247" s="33"/>
      <c r="F247" s="34"/>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46" t="s">
        <v>260</v>
      </c>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54" t="s">
        <v>261</v>
      </c>
      <c r="C249" s="55"/>
      <c r="D249" s="55"/>
      <c r="E249" s="55"/>
      <c r="F249" s="55"/>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56" t="s">
        <v>262</v>
      </c>
      <c r="C250" s="55"/>
      <c r="D250" s="55"/>
      <c r="E250" s="55"/>
      <c r="F250" s="55"/>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36"/>
      <c r="C251" s="47"/>
      <c r="D251" s="47"/>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46" t="s">
        <v>263</v>
      </c>
      <c r="C252" s="1"/>
      <c r="D252" s="47"/>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48">
        <v>1</v>
      </c>
      <c r="C253" s="57" t="s">
        <v>264</v>
      </c>
      <c r="D253" s="55"/>
      <c r="E253" s="55"/>
      <c r="F253" s="55"/>
      <c r="G253" s="55"/>
      <c r="H253" s="1"/>
      <c r="I253" s="1"/>
      <c r="J253" s="1"/>
      <c r="K253" s="1"/>
      <c r="L253" s="1"/>
      <c r="M253" s="1"/>
      <c r="N253" s="1"/>
      <c r="O253" s="1"/>
      <c r="P253" s="1"/>
      <c r="Q253" s="1"/>
      <c r="R253" s="1"/>
      <c r="S253" s="1"/>
      <c r="T253" s="1"/>
      <c r="U253" s="1"/>
      <c r="V253" s="1"/>
      <c r="W253" s="1"/>
      <c r="X253" s="1"/>
      <c r="Y253" s="1"/>
      <c r="Z253" s="1"/>
    </row>
    <row r="254" spans="1:26" ht="24" customHeight="1" x14ac:dyDescent="0.25">
      <c r="A254" s="1"/>
      <c r="B254" s="48">
        <v>2</v>
      </c>
      <c r="C254" s="58" t="s">
        <v>265</v>
      </c>
      <c r="D254" s="55"/>
      <c r="E254" s="55"/>
      <c r="F254" s="55"/>
      <c r="G254" s="55"/>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48">
        <v>3</v>
      </c>
      <c r="C255" s="58" t="s">
        <v>266</v>
      </c>
      <c r="D255" s="55"/>
      <c r="E255" s="55"/>
      <c r="F255" s="55"/>
      <c r="G255" s="55"/>
      <c r="H255" s="1"/>
      <c r="I255" s="1"/>
      <c r="J255" s="1"/>
      <c r="K255" s="1"/>
      <c r="L255" s="1"/>
      <c r="M255" s="1"/>
      <c r="N255" s="1"/>
      <c r="O255" s="1"/>
      <c r="P255" s="1"/>
      <c r="Q255" s="1"/>
      <c r="R255" s="1"/>
      <c r="S255" s="1"/>
      <c r="T255" s="1"/>
      <c r="U255" s="1"/>
      <c r="V255" s="1"/>
      <c r="W255" s="1"/>
      <c r="X255" s="1"/>
      <c r="Y255" s="1"/>
      <c r="Z255" s="1"/>
    </row>
    <row r="256" spans="1:26" ht="38.25" customHeight="1" x14ac:dyDescent="0.25">
      <c r="A256" s="1"/>
      <c r="B256" s="48">
        <v>4</v>
      </c>
      <c r="C256" s="58" t="s">
        <v>267</v>
      </c>
      <c r="D256" s="55"/>
      <c r="E256" s="55"/>
      <c r="F256" s="55"/>
      <c r="G256" s="55"/>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48">
        <v>5</v>
      </c>
      <c r="C257" s="58" t="s">
        <v>268</v>
      </c>
      <c r="D257" s="55"/>
      <c r="E257" s="55"/>
      <c r="F257" s="55"/>
      <c r="G257" s="55"/>
      <c r="H257" s="1"/>
      <c r="I257" s="1"/>
      <c r="J257" s="1"/>
      <c r="K257" s="1"/>
      <c r="L257" s="1"/>
      <c r="M257" s="1"/>
      <c r="N257" s="1"/>
      <c r="O257" s="1"/>
      <c r="P257" s="1"/>
      <c r="Q257" s="1"/>
      <c r="R257" s="1"/>
      <c r="S257" s="1"/>
      <c r="T257" s="1"/>
      <c r="U257" s="1"/>
      <c r="V257" s="1"/>
      <c r="W257" s="1"/>
      <c r="X257" s="1"/>
      <c r="Y257" s="1"/>
      <c r="Z257" s="1"/>
    </row>
    <row r="258" spans="1:26" ht="26.25" customHeight="1" x14ac:dyDescent="0.25">
      <c r="A258" s="1"/>
      <c r="B258" s="48">
        <v>6</v>
      </c>
      <c r="C258" s="58" t="s">
        <v>269</v>
      </c>
      <c r="D258" s="55"/>
      <c r="E258" s="55"/>
      <c r="F258" s="55"/>
      <c r="G258" s="55"/>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48">
        <v>7</v>
      </c>
      <c r="C259" s="58" t="s">
        <v>270</v>
      </c>
      <c r="D259" s="55"/>
      <c r="E259" s="55"/>
      <c r="F259" s="55"/>
      <c r="G259" s="55"/>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48">
        <v>8</v>
      </c>
      <c r="C260" s="57" t="s">
        <v>271</v>
      </c>
      <c r="D260" s="55"/>
      <c r="E260" s="55"/>
      <c r="F260" s="55"/>
      <c r="G260" s="55"/>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48">
        <v>9</v>
      </c>
      <c r="C261" s="57" t="s">
        <v>272</v>
      </c>
      <c r="D261" s="55"/>
      <c r="E261" s="55"/>
      <c r="F261" s="55"/>
      <c r="G261" s="55"/>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48">
        <v>10</v>
      </c>
      <c r="C262" s="57" t="s">
        <v>273</v>
      </c>
      <c r="D262" s="55"/>
      <c r="E262" s="55"/>
      <c r="F262" s="55"/>
      <c r="G262" s="55"/>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48">
        <v>11</v>
      </c>
      <c r="C263" s="57" t="s">
        <v>274</v>
      </c>
      <c r="D263" s="55"/>
      <c r="E263" s="55"/>
      <c r="F263" s="55"/>
      <c r="G263" s="55"/>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48">
        <v>12</v>
      </c>
      <c r="C264" s="57" t="s">
        <v>275</v>
      </c>
      <c r="D264" s="55"/>
      <c r="E264" s="55"/>
      <c r="F264" s="55"/>
      <c r="G264" s="55"/>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48">
        <v>13</v>
      </c>
      <c r="C265" s="57" t="s">
        <v>276</v>
      </c>
      <c r="D265" s="55"/>
      <c r="E265" s="55"/>
      <c r="F265" s="55"/>
      <c r="G265" s="55"/>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48">
        <v>14</v>
      </c>
      <c r="C266" s="57" t="s">
        <v>277</v>
      </c>
      <c r="D266" s="55"/>
      <c r="E266" s="55"/>
      <c r="F266" s="55"/>
      <c r="G266" s="55"/>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48">
        <v>15</v>
      </c>
      <c r="C267" s="57" t="s">
        <v>278</v>
      </c>
      <c r="D267" s="55"/>
      <c r="E267" s="55"/>
      <c r="F267" s="55"/>
      <c r="G267" s="55"/>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48">
        <v>16</v>
      </c>
      <c r="C268" s="57" t="s">
        <v>279</v>
      </c>
      <c r="D268" s="55"/>
      <c r="E268" s="55"/>
      <c r="F268" s="55"/>
      <c r="G268" s="55"/>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48">
        <v>17</v>
      </c>
      <c r="C269" s="57" t="s">
        <v>280</v>
      </c>
      <c r="D269" s="55"/>
      <c r="E269" s="55"/>
      <c r="F269" s="55"/>
      <c r="G269" s="55"/>
      <c r="H269" s="1"/>
      <c r="I269" s="1"/>
      <c r="J269" s="1"/>
      <c r="K269" s="1"/>
      <c r="L269" s="1"/>
      <c r="M269" s="1"/>
      <c r="N269" s="1"/>
      <c r="O269" s="1"/>
      <c r="P269" s="1"/>
      <c r="Q269" s="1"/>
      <c r="R269" s="1"/>
      <c r="S269" s="1"/>
      <c r="T269" s="1"/>
      <c r="U269" s="1"/>
      <c r="V269" s="1"/>
      <c r="W269" s="1"/>
      <c r="X269" s="1"/>
      <c r="Y269" s="1"/>
      <c r="Z269" s="1"/>
    </row>
    <row r="270" spans="1:26" ht="49.5" customHeight="1" x14ac:dyDescent="0.25">
      <c r="A270" s="1"/>
      <c r="B270" s="48">
        <v>18</v>
      </c>
      <c r="C270" s="58" t="s">
        <v>281</v>
      </c>
      <c r="D270" s="55"/>
      <c r="E270" s="55"/>
      <c r="F270" s="55"/>
      <c r="G270" s="55"/>
      <c r="H270" s="1"/>
      <c r="I270" s="1"/>
      <c r="J270" s="1"/>
      <c r="K270" s="1"/>
      <c r="L270" s="1"/>
      <c r="M270" s="1"/>
      <c r="N270" s="1"/>
      <c r="O270" s="1"/>
      <c r="P270" s="1"/>
      <c r="Q270" s="1"/>
      <c r="R270" s="1"/>
      <c r="S270" s="1"/>
      <c r="T270" s="1"/>
      <c r="U270" s="1"/>
      <c r="V270" s="1"/>
      <c r="W270" s="1"/>
      <c r="X270" s="1"/>
      <c r="Y270" s="1"/>
      <c r="Z270" s="1"/>
    </row>
    <row r="271" spans="1:26" ht="45.75" customHeight="1" x14ac:dyDescent="0.25">
      <c r="A271" s="1"/>
      <c r="B271" s="48">
        <v>19</v>
      </c>
      <c r="C271" s="58" t="s">
        <v>282</v>
      </c>
      <c r="D271" s="55"/>
      <c r="E271" s="55"/>
      <c r="F271" s="55"/>
      <c r="G271" s="55"/>
      <c r="H271" s="1"/>
      <c r="I271" s="1"/>
      <c r="J271" s="1"/>
      <c r="K271" s="1"/>
      <c r="L271" s="1"/>
      <c r="M271" s="1"/>
      <c r="N271" s="1"/>
      <c r="O271" s="1"/>
      <c r="P271" s="1"/>
      <c r="Q271" s="1"/>
      <c r="R271" s="1"/>
      <c r="S271" s="1"/>
      <c r="T271" s="1"/>
      <c r="U271" s="1"/>
      <c r="V271" s="1"/>
      <c r="W271" s="1"/>
      <c r="X271" s="1"/>
      <c r="Y271" s="1"/>
      <c r="Z271" s="1"/>
    </row>
    <row r="272" spans="1:26" ht="36.75" customHeight="1" x14ac:dyDescent="0.25">
      <c r="A272" s="1"/>
      <c r="B272" s="48">
        <v>20</v>
      </c>
      <c r="C272" s="58" t="s">
        <v>283</v>
      </c>
      <c r="D272" s="55"/>
      <c r="E272" s="55"/>
      <c r="F272" s="55"/>
      <c r="G272" s="55"/>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49"/>
      <c r="C273" s="50"/>
      <c r="D273" s="50"/>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63" t="s">
        <v>284</v>
      </c>
      <c r="C274" s="55"/>
      <c r="D274" s="47"/>
      <c r="E274" s="1"/>
      <c r="F274" s="1"/>
      <c r="G274" s="1"/>
      <c r="H274" s="1"/>
      <c r="I274" s="1"/>
      <c r="J274" s="1"/>
      <c r="K274" s="1"/>
      <c r="L274" s="1"/>
      <c r="M274" s="1"/>
      <c r="N274" s="1"/>
      <c r="O274" s="1"/>
      <c r="P274" s="1"/>
      <c r="Q274" s="1"/>
      <c r="R274" s="1"/>
      <c r="S274" s="1"/>
      <c r="T274" s="1"/>
      <c r="U274" s="1"/>
      <c r="V274" s="1"/>
      <c r="W274" s="1"/>
      <c r="X274" s="1"/>
      <c r="Y274" s="1"/>
      <c r="Z274" s="1"/>
    </row>
    <row r="275" spans="1:26" ht="36" customHeight="1" x14ac:dyDescent="0.25">
      <c r="A275" s="1"/>
      <c r="B275" s="59" t="s">
        <v>285</v>
      </c>
      <c r="C275" s="55"/>
      <c r="D275" s="55"/>
      <c r="E275" s="55"/>
      <c r="F275" s="55"/>
      <c r="G275" s="55"/>
      <c r="H275" s="1"/>
      <c r="I275" s="1"/>
      <c r="J275" s="1"/>
      <c r="K275" s="1"/>
      <c r="L275" s="1"/>
      <c r="M275" s="1"/>
      <c r="N275" s="1"/>
      <c r="O275" s="1"/>
      <c r="P275" s="1"/>
      <c r="Q275" s="1"/>
      <c r="R275" s="1"/>
      <c r="S275" s="1"/>
      <c r="T275" s="1"/>
      <c r="U275" s="1"/>
      <c r="V275" s="1"/>
      <c r="W275" s="1"/>
      <c r="X275" s="1"/>
      <c r="Y275" s="1"/>
      <c r="Z275" s="1"/>
    </row>
    <row r="276" spans="1:26" ht="23.25" customHeight="1" x14ac:dyDescent="0.25">
      <c r="A276" s="1"/>
      <c r="B276" s="59" t="s">
        <v>286</v>
      </c>
      <c r="C276" s="55"/>
      <c r="D276" s="55"/>
      <c r="E276" s="55"/>
      <c r="F276" s="55"/>
      <c r="G276" s="55"/>
      <c r="H276" s="1"/>
      <c r="I276" s="1"/>
      <c r="J276" s="1"/>
      <c r="K276" s="1"/>
      <c r="L276" s="1"/>
      <c r="M276" s="1"/>
      <c r="N276" s="1"/>
      <c r="O276" s="1"/>
      <c r="P276" s="1"/>
      <c r="Q276" s="1"/>
      <c r="R276" s="1"/>
      <c r="S276" s="1"/>
      <c r="T276" s="1"/>
      <c r="U276" s="1"/>
      <c r="V276" s="1"/>
      <c r="W276" s="1"/>
      <c r="X276" s="1"/>
      <c r="Y276" s="1"/>
      <c r="Z276" s="1"/>
    </row>
    <row r="277" spans="1:26" ht="38.25" customHeight="1" x14ac:dyDescent="0.25">
      <c r="A277" s="1"/>
      <c r="B277" s="59" t="s">
        <v>287</v>
      </c>
      <c r="C277" s="55"/>
      <c r="D277" s="55"/>
      <c r="E277" s="55"/>
      <c r="F277" s="55"/>
      <c r="G277" s="55"/>
      <c r="H277" s="1"/>
      <c r="I277" s="1"/>
      <c r="J277" s="1"/>
      <c r="K277" s="1"/>
      <c r="L277" s="1"/>
      <c r="M277" s="1"/>
      <c r="N277" s="1"/>
      <c r="O277" s="1"/>
      <c r="P277" s="1"/>
      <c r="Q277" s="1"/>
      <c r="R277" s="1"/>
      <c r="S277" s="1"/>
      <c r="T277" s="1"/>
      <c r="U277" s="1"/>
      <c r="V277" s="1"/>
      <c r="W277" s="1"/>
      <c r="X277" s="1"/>
      <c r="Y277" s="1"/>
      <c r="Z277" s="1"/>
    </row>
    <row r="278" spans="1:26" ht="103.5" customHeight="1" x14ac:dyDescent="0.25">
      <c r="A278" s="1"/>
      <c r="B278" s="59" t="s">
        <v>288</v>
      </c>
      <c r="C278" s="55"/>
      <c r="D278" s="55"/>
      <c r="E278" s="55"/>
      <c r="F278" s="55"/>
      <c r="G278" s="55"/>
      <c r="H278" s="1"/>
      <c r="I278" s="1"/>
      <c r="J278" s="1"/>
      <c r="K278" s="1"/>
      <c r="L278" s="1"/>
      <c r="M278" s="1"/>
      <c r="N278" s="1"/>
      <c r="O278" s="1"/>
      <c r="P278" s="1"/>
      <c r="Q278" s="1"/>
      <c r="R278" s="1"/>
      <c r="S278" s="1"/>
      <c r="T278" s="1"/>
      <c r="U278" s="1"/>
      <c r="V278" s="1"/>
      <c r="W278" s="1"/>
      <c r="X278" s="1"/>
      <c r="Y278" s="1"/>
      <c r="Z278" s="1"/>
    </row>
    <row r="279" spans="1:26" ht="12" customHeight="1" x14ac:dyDescent="0.25">
      <c r="A279" s="1"/>
      <c r="B279" s="59" t="s">
        <v>289</v>
      </c>
      <c r="C279" s="55"/>
      <c r="D279" s="55"/>
      <c r="E279" s="55"/>
      <c r="F279" s="55"/>
      <c r="G279" s="55"/>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50"/>
      <c r="C280" s="36"/>
      <c r="D280" s="36"/>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60" t="s">
        <v>290</v>
      </c>
      <c r="C281" s="55"/>
      <c r="D281" s="51"/>
      <c r="E281" s="1"/>
      <c r="F281" s="1"/>
      <c r="G281" s="1"/>
      <c r="H281" s="1"/>
      <c r="I281" s="1"/>
      <c r="J281" s="1"/>
      <c r="K281" s="1"/>
      <c r="L281" s="1"/>
      <c r="M281" s="1"/>
      <c r="N281" s="1"/>
      <c r="O281" s="1"/>
      <c r="P281" s="1"/>
      <c r="Q281" s="1"/>
      <c r="R281" s="1"/>
      <c r="S281" s="1"/>
      <c r="T281" s="1"/>
      <c r="U281" s="1"/>
      <c r="V281" s="1"/>
      <c r="W281" s="1"/>
      <c r="X281" s="1"/>
      <c r="Y281" s="1"/>
      <c r="Z281" s="1"/>
    </row>
    <row r="282" spans="1:26" ht="81" customHeight="1" x14ac:dyDescent="0.25">
      <c r="A282" s="1"/>
      <c r="B282" s="61" t="s">
        <v>291</v>
      </c>
      <c r="C282" s="55"/>
      <c r="D282" s="55"/>
      <c r="E282" s="55"/>
      <c r="F282" s="55"/>
      <c r="G282" s="55"/>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62" t="s">
        <v>292</v>
      </c>
      <c r="C283" s="55"/>
      <c r="D283" s="55"/>
      <c r="E283" s="55"/>
      <c r="F283" s="55"/>
      <c r="G283" s="55"/>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2">
    <mergeCell ref="C270:G270"/>
    <mergeCell ref="B279:G279"/>
    <mergeCell ref="B281:C281"/>
    <mergeCell ref="B282:G282"/>
    <mergeCell ref="B283:G283"/>
    <mergeCell ref="C271:G271"/>
    <mergeCell ref="C272:G272"/>
    <mergeCell ref="B274:C274"/>
    <mergeCell ref="B275:G275"/>
    <mergeCell ref="B276:G276"/>
    <mergeCell ref="B277:G277"/>
    <mergeCell ref="B278:G278"/>
    <mergeCell ref="C265:G265"/>
    <mergeCell ref="C266:G266"/>
    <mergeCell ref="C267:G267"/>
    <mergeCell ref="C268:G268"/>
    <mergeCell ref="C269:G269"/>
    <mergeCell ref="C260:G260"/>
    <mergeCell ref="C261:G261"/>
    <mergeCell ref="C262:G262"/>
    <mergeCell ref="C263:G263"/>
    <mergeCell ref="C264:G264"/>
    <mergeCell ref="C255:G255"/>
    <mergeCell ref="C256:G256"/>
    <mergeCell ref="C257:G257"/>
    <mergeCell ref="C258:G258"/>
    <mergeCell ref="C259:G259"/>
    <mergeCell ref="F8:G8"/>
    <mergeCell ref="B249:F249"/>
    <mergeCell ref="B250:F250"/>
    <mergeCell ref="C253:G253"/>
    <mergeCell ref="C254:G254"/>
  </mergeCells>
  <dataValidations count="1">
    <dataValidation type="list" allowBlank="1" showInputMessage="1" showErrorMessage="1" prompt=" - " sqref="F8" xr:uid="{00000000-0002-0000-0000-000000000000}">
      <formula1>$B$19:$B$245</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Energy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Nations</dc:creator>
  <cp:lastModifiedBy>AARYA</cp:lastModifiedBy>
  <dcterms:created xsi:type="dcterms:W3CDTF">2009-08-07T20:49:41Z</dcterms:created>
  <dcterms:modified xsi:type="dcterms:W3CDTF">2022-01-28T09:15:44Z</dcterms:modified>
</cp:coreProperties>
</file>